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" sheetId="1" state="visible" r:id="rId1"/>
    <sheet xmlns:r="http://schemas.openxmlformats.org/officeDocument/2006/relationships" name="Candidatos" sheetId="2" state="visible" r:id="rId2"/>
    <sheet xmlns:r="http://schemas.openxmlformats.org/officeDocument/2006/relationships" name="Aprovados" sheetId="3" state="visible" r:id="rId3"/>
    <sheet xmlns:r="http://schemas.openxmlformats.org/officeDocument/2006/relationships" name="Em análise" sheetId="4" state="visible" r:id="rId4"/>
    <sheet xmlns:r="http://schemas.openxmlformats.org/officeDocument/2006/relationships" name="Negado" sheetId="5" state="visible" r:id="rId5"/>
    <sheet xmlns:r="http://schemas.openxmlformats.org/officeDocument/2006/relationships" name="Pré-aprovado" sheetId="6" state="visible" r:id="rId6"/>
    <sheet xmlns:r="http://schemas.openxmlformats.org/officeDocument/2006/relationships" name="Desistência" sheetId="7" state="visible" r:id="rId7"/>
    <sheet xmlns:r="http://schemas.openxmlformats.org/officeDocument/2006/relationships" name="Database" sheetId="8" state="visible" r:id="rId8"/>
    <sheet xmlns:r="http://schemas.openxmlformats.org/officeDocument/2006/relationships" name="legenda" sheetId="9" state="visible" r:id="rId9"/>
    <sheet xmlns:r="http://schemas.openxmlformats.org/officeDocument/2006/relationships" name="Team A" sheetId="10" state="visible" r:id="rId10"/>
    <sheet xmlns:r="http://schemas.openxmlformats.org/officeDocument/2006/relationships" name="Team B" sheetId="11" state="visible" r:id="rId11"/>
    <sheet xmlns:r="http://schemas.openxmlformats.org/officeDocument/2006/relationships" name="Team C" sheetId="12" state="visible" r:id="rId12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0.0%"/>
    <numFmt numFmtId="166" formatCode="dd/mm/yyyy hh:mm"/>
  </numFmts>
  <fonts count="6">
    <font>
      <name val="Carlito"/>
      <sz val="11"/>
    </font>
    <font>
      <name val="Calibri"/>
      <b val="1"/>
      <color rgb="FFFFFFFF"/>
      <sz val="11"/>
    </font>
    <font>
      <name val="Calibri"/>
      <color rgb="FF1F1F1F"/>
      <sz val="10"/>
    </font>
    <font>
      <name val="Calibri"/>
      <b val="1"/>
      <color rgb="FF1F1F1F"/>
      <sz val="10"/>
    </font>
    <font>
      <name val="Calibri"/>
      <b val="1"/>
      <color rgb="FFFFFFFF"/>
      <sz val="16"/>
    </font>
    <font>
      <name val="Carlito"/>
      <b val="1"/>
      <color rgb="FFFFFFFF"/>
      <sz val="11"/>
    </font>
  </fonts>
  <fills count="13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D3"/>
      </patternFill>
    </fill>
    <fill>
      <patternFill patternType="solid">
        <fgColor rgb="FFFFFDF2"/>
      </patternFill>
    </fill>
    <fill>
      <patternFill patternType="solid">
        <fgColor rgb="FFF8FBFF"/>
      </patternFill>
    </fill>
    <fill>
      <patternFill patternType="solid">
        <fgColor rgb="FFFFF2CC"/>
      </patternFill>
    </fill>
    <fill>
      <patternFill patternType="solid">
        <fgColor rgb="FFF3F4F6"/>
      </patternFill>
    </fill>
    <fill>
      <patternFill patternType="solid">
        <fgColor rgb="FFB7DEE8"/>
      </patternFill>
    </fill>
    <fill>
      <patternFill patternType="solid">
        <fgColor rgb="FFFDE9D9"/>
      </patternFill>
    </fill>
    <fill>
      <patternFill patternType="solid">
        <fgColor rgb="FFFFF2CC"/>
      </patternFill>
    </fill>
    <fill>
      <patternFill patternType="solid">
        <fgColor rgb="FFC65911"/>
      </patternFill>
    </fill>
    <fill>
      <patternFill patternType="solid">
        <fgColor rgb="FF1F4E78"/>
      </patternFill>
    </fill>
  </fills>
  <borders count="7">
    <border/>
    <border>
      <left style="thin">
        <color rgb="FFD1D5DB"/>
      </left>
      <top style="thin">
        <color rgb="FFD1D5DB"/>
      </top>
      <bottom style="thin">
        <color rgb="FFD1D5DB"/>
      </bottom>
    </border>
    <border>
      <top style="thin">
        <color rgb="FFD1D5DB"/>
      </top>
      <bottom style="thin">
        <color rgb="FFD1D5DB"/>
      </bottom>
    </border>
    <border>
      <right style="thin">
        <color rgb="FFD1D5DB"/>
      </right>
      <top style="thin">
        <color rgb="FFD1D5DB"/>
      </top>
      <bottom style="thin">
        <color rgb="FFD1D5DB"/>
      </bottom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top style="thin">
        <color rgb="FFD1D5DB"/>
      </top>
    </border>
    <border>
      <right style="thin">
        <color rgb="FFD1D5DB"/>
      </right>
      <top style="thin">
        <color rgb="FFD1D5DB"/>
      </top>
    </border>
  </borders>
  <cellStyleXfs count="1">
    <xf numFmtId="0" fontId="0" fillId="0" borderId="0"/>
  </cellStyleXfs>
  <cellXfs count="94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2" borderId="3" pivotButton="0" quotePrefix="0" xfId="0"/>
    <xf numFmtId="0" fontId="1" fillId="2" borderId="1" applyAlignment="1" pivotButton="0" quotePrefix="0" xfId="0">
      <alignment wrapText="1"/>
    </xf>
    <xf numFmtId="0" fontId="1" fillId="2" borderId="2" applyAlignment="1" pivotButton="0" quotePrefix="0" xfId="0">
      <alignment wrapText="1"/>
    </xf>
    <xf numFmtId="0" fontId="1" fillId="2" borderId="3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2" applyAlignment="1" pivotButton="0" quotePrefix="0" xfId="0">
      <alignment horizontal="center" wrapText="1"/>
    </xf>
    <xf numFmtId="0" fontId="1" fillId="2" borderId="3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0" fillId="3" borderId="0" pivotButton="0" quotePrefix="0" xfId="0"/>
    <xf numFmtId="0" fontId="3" fillId="3" borderId="0" pivotButton="0" quotePrefix="0" xfId="0"/>
    <xf numFmtId="0" fontId="3" fillId="3" borderId="1" pivotButton="0" quotePrefix="0" xfId="0"/>
    <xf numFmtId="0" fontId="3" fillId="3" borderId="3" pivotButton="0" quotePrefix="0" xfId="0"/>
    <xf numFmtId="0" fontId="3" fillId="3" borderId="1" applyAlignment="1" pivotButton="0" quotePrefix="0" xfId="0">
      <alignment wrapText="1"/>
    </xf>
    <xf numFmtId="0" fontId="3" fillId="3" borderId="3" applyAlignment="1" pivotButton="0" quotePrefix="0" xfId="0">
      <alignment wrapText="1"/>
    </xf>
    <xf numFmtId="0" fontId="3" fillId="3" borderId="1" applyAlignment="1" pivotButton="0" quotePrefix="0" xfId="0">
      <alignment horizontal="center" wrapText="1"/>
    </xf>
    <xf numFmtId="0" fontId="3" fillId="3" borderId="3" applyAlignment="1" pivotButton="0" quotePrefix="0" xfId="0">
      <alignment horizont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2" fillId="4" borderId="0" applyAlignment="1" pivotButton="0" quotePrefix="0" xfId="0">
      <alignment vertical="center" wrapText="1"/>
    </xf>
    <xf numFmtId="164" fontId="2" fillId="4" borderId="0" applyAlignment="1" pivotButton="0" quotePrefix="0" xfId="0">
      <alignment vertical="center" wrapText="1"/>
    </xf>
    <xf numFmtId="0" fontId="2" fillId="5" borderId="0" applyAlignment="1" pivotButton="0" quotePrefix="0" xfId="0">
      <alignment vertical="center" wrapText="1"/>
    </xf>
    <xf numFmtId="0" fontId="2" fillId="6" borderId="0" applyAlignment="1" pivotButton="0" quotePrefix="0" xfId="0">
      <alignment vertical="center" wrapText="1"/>
    </xf>
    <xf numFmtId="0" fontId="2" fillId="7" borderId="0" applyAlignment="1" pivotButton="0" quotePrefix="0" xfId="0">
      <alignment vertical="center" wrapText="1"/>
    </xf>
    <xf numFmtId="164" fontId="2" fillId="5" borderId="0" applyAlignment="1" pivotButton="0" quotePrefix="0" xfId="0">
      <alignment vertical="center" wrapText="1"/>
    </xf>
    <xf numFmtId="164" fontId="2" fillId="6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3" fillId="3" borderId="3" applyAlignment="1" pivotButton="0" quotePrefix="0" xfId="0">
      <alignment vertical="center" wrapText="1"/>
    </xf>
    <xf numFmtId="164" fontId="1" fillId="2" borderId="2" applyAlignment="1" pivotButton="0" quotePrefix="0" xfId="0">
      <alignment horizontal="center" vertical="center" wrapText="1"/>
    </xf>
    <xf numFmtId="0" fontId="4" fillId="2" borderId="0" pivotButton="0" quotePrefix="0" xfId="0"/>
    <xf numFmtId="0" fontId="4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 vertical="center"/>
    </xf>
    <xf numFmtId="0" fontId="0" fillId="8" borderId="0" pivotButton="0" quotePrefix="0" xfId="0"/>
    <xf numFmtId="0" fontId="3" fillId="8" borderId="0" pivotButton="0" quotePrefix="0" xfId="0"/>
    <xf numFmtId="0" fontId="3" fillId="8" borderId="1" pivotButton="0" quotePrefix="0" xfId="0"/>
    <xf numFmtId="0" fontId="3" fillId="8" borderId="2" pivotButton="0" quotePrefix="0" xfId="0"/>
    <xf numFmtId="0" fontId="3" fillId="8" borderId="3" pivotButton="0" quotePrefix="0" xfId="0"/>
    <xf numFmtId="0" fontId="3" fillId="8" borderId="1" applyAlignment="1" pivotButton="0" quotePrefix="0" xfId="0">
      <alignment wrapText="1"/>
    </xf>
    <xf numFmtId="0" fontId="3" fillId="8" borderId="2" applyAlignment="1" pivotButton="0" quotePrefix="0" xfId="0">
      <alignment wrapText="1"/>
    </xf>
    <xf numFmtId="0" fontId="3" fillId="8" borderId="3" applyAlignment="1" pivotButton="0" quotePrefix="0" xfId="0">
      <alignment wrapText="1"/>
    </xf>
    <xf numFmtId="0" fontId="3" fillId="8" borderId="1" applyAlignment="1" pivotButton="0" quotePrefix="0" xfId="0">
      <alignment horizontal="center" wrapText="1"/>
    </xf>
    <xf numFmtId="0" fontId="3" fillId="8" borderId="2" applyAlignment="1" pivotButton="0" quotePrefix="0" xfId="0">
      <alignment horizontal="center" wrapText="1"/>
    </xf>
    <xf numFmtId="0" fontId="3" fillId="8" borderId="3" applyAlignment="1" pivotButton="0" quotePrefix="0" xfId="0">
      <alignment horizontal="center" wrapText="1"/>
    </xf>
    <xf numFmtId="0" fontId="3" fillId="8" borderId="1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3" fillId="8" borderId="3" applyAlignment="1" pivotButton="0" quotePrefix="0" xfId="0">
      <alignment horizontal="center" vertical="center" wrapText="1"/>
    </xf>
    <xf numFmtId="0" fontId="0" fillId="9" borderId="0" pivotButton="0" quotePrefix="0" xfId="0"/>
    <xf numFmtId="0" fontId="3" fillId="9" borderId="0" pivotButton="0" quotePrefix="0" xfId="0"/>
    <xf numFmtId="0" fontId="3" fillId="9" borderId="1" pivotButton="0" quotePrefix="0" xfId="0"/>
    <xf numFmtId="0" fontId="3" fillId="9" borderId="2" pivotButton="0" quotePrefix="0" xfId="0"/>
    <xf numFmtId="0" fontId="3" fillId="9" borderId="3" pivotButton="0" quotePrefix="0" xfId="0"/>
    <xf numFmtId="0" fontId="3" fillId="9" borderId="1" applyAlignment="1" pivotButton="0" quotePrefix="0" xfId="0">
      <alignment wrapText="1"/>
    </xf>
    <xf numFmtId="0" fontId="3" fillId="9" borderId="2" applyAlignment="1" pivotButton="0" quotePrefix="0" xfId="0">
      <alignment wrapText="1"/>
    </xf>
    <xf numFmtId="0" fontId="3" fillId="9" borderId="3" applyAlignment="1" pivotButton="0" quotePrefix="0" xfId="0">
      <alignment wrapText="1"/>
    </xf>
    <xf numFmtId="0" fontId="3" fillId="9" borderId="1" applyAlignment="1" pivotButton="0" quotePrefix="0" xfId="0">
      <alignment horizontal="center" wrapText="1"/>
    </xf>
    <xf numFmtId="0" fontId="3" fillId="9" borderId="2" applyAlignment="1" pivotButton="0" quotePrefix="0" xfId="0">
      <alignment horizontal="center" wrapText="1"/>
    </xf>
    <xf numFmtId="0" fontId="3" fillId="9" borderId="3" applyAlignment="1" pivotButton="0" quotePrefix="0" xfId="0">
      <alignment horizontal="center" wrapText="1"/>
    </xf>
    <xf numFmtId="0" fontId="3" fillId="9" borderId="1" applyAlignment="1" pivotButton="0" quotePrefix="0" xfId="0">
      <alignment horizontal="center" vertical="center" wrapText="1"/>
    </xf>
    <xf numFmtId="0" fontId="3" fillId="9" borderId="2" applyAlignment="1" pivotButton="0" quotePrefix="0" xfId="0">
      <alignment horizontal="center" vertical="center" wrapText="1"/>
    </xf>
    <xf numFmtId="0" fontId="3" fillId="9" borderId="3" applyAlignment="1" pivotButton="0" quotePrefix="0" xfId="0">
      <alignment horizontal="center" vertical="center" wrapText="1"/>
    </xf>
    <xf numFmtId="165" fontId="2" fillId="0" borderId="0" applyAlignment="1" pivotButton="0" quotePrefix="0" xfId="0">
      <alignment vertical="center" wrapText="1"/>
    </xf>
    <xf numFmtId="0" fontId="0" fillId="0" borderId="0" pivotButton="0" quotePrefix="0" xfId="0"/>
    <xf numFmtId="166" fontId="2" fillId="0" borderId="0" applyAlignment="1" pivotButton="0" quotePrefix="0" xfId="0">
      <alignment vertical="center" wrapText="1"/>
    </xf>
    <xf numFmtId="166" fontId="0" fillId="0" borderId="0" pivotButton="0" quotePrefix="0" xfId="0"/>
    <xf numFmtId="166" fontId="2" fillId="10" borderId="0" applyAlignment="1" pivotButton="0" quotePrefix="0" xfId="0">
      <alignment vertical="center" wrapText="1"/>
    </xf>
    <xf numFmtId="0" fontId="2" fillId="10" borderId="0" applyAlignment="1" pivotButton="0" quotePrefix="0" xfId="0">
      <alignment vertical="center" wrapText="1"/>
    </xf>
    <xf numFmtId="166" fontId="0" fillId="10" borderId="0" pivotButton="0" quotePrefix="0" xfId="0"/>
    <xf numFmtId="0" fontId="0" fillId="10" borderId="0" pivotButton="0" quotePrefix="0" xfId="0"/>
    <xf numFmtId="164" fontId="1" fillId="11" borderId="2" applyAlignment="1" pivotButton="0" quotePrefix="0" xfId="0">
      <alignment horizontal="center" vertical="center" wrapText="1"/>
    </xf>
    <xf numFmtId="0" fontId="1" fillId="11" borderId="2" applyAlignment="1" pivotButton="0" quotePrefix="0" xfId="0">
      <alignment horizontal="center" vertical="center" wrapText="1"/>
    </xf>
    <xf numFmtId="0" fontId="0" fillId="12" borderId="0" pivotButton="0" quotePrefix="0" xfId="0"/>
    <xf numFmtId="0" fontId="5" fillId="12" borderId="0" pivotButton="0" quotePrefix="0" xfId="0"/>
    <xf numFmtId="165" fontId="2" fillId="0" borderId="0" applyAlignment="1" pivotButton="0" quotePrefix="0" xfId="0">
      <alignment vertical="center" wrapText="1"/>
    </xf>
    <xf numFmtId="0" fontId="3" fillId="9" borderId="4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164" fontId="2" fillId="5" borderId="0" applyAlignment="1" pivotButton="0" quotePrefix="0" xfId="0">
      <alignment vertical="center" wrapText="1"/>
    </xf>
    <xf numFmtId="164" fontId="2" fillId="6" borderId="0" applyAlignment="1" pivotButton="0" quotePrefix="0" xfId="0">
      <alignment vertical="center" wrapText="1"/>
    </xf>
    <xf numFmtId="164" fontId="1" fillId="2" borderId="2" applyAlignment="1" pivotButton="0" quotePrefix="0" xfId="0">
      <alignment horizontal="center" vertical="center" wrapText="1"/>
    </xf>
    <xf numFmtId="164" fontId="2" fillId="4" borderId="0" applyAlignment="1" pivotButton="0" quotePrefix="0" xfId="0">
      <alignment vertical="center" wrapText="1"/>
    </xf>
    <xf numFmtId="164" fontId="1" fillId="11" borderId="2" applyAlignment="1" pivotButton="0" quotePrefix="0" xfId="0">
      <alignment horizontal="center" vertical="center" wrapText="1"/>
    </xf>
    <xf numFmtId="166" fontId="2" fillId="10" borderId="0" applyAlignment="1" pivotButton="0" quotePrefix="0" xfId="0">
      <alignment vertical="center" wrapText="1"/>
    </xf>
    <xf numFmtId="166" fontId="0" fillId="1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0"/>
  <sheetViews>
    <sheetView workbookViewId="0">
      <selection activeCell="A1" sqref="A1"/>
    </sheetView>
  </sheetViews>
  <sheetFormatPr baseColWidth="8" defaultRowHeight="15"/>
  <cols>
    <col width="20" customWidth="1" style="72" min="1" max="1"/>
    <col width="14" customWidth="1" style="72" min="2" max="2"/>
    <col width="18" customWidth="1" style="72" min="3" max="3"/>
    <col width="20" customWidth="1" style="72" min="4" max="4"/>
    <col width="14" customWidth="1" style="72" min="5" max="5"/>
    <col width="18" customWidth="1" style="72" min="6" max="6"/>
    <col width="18" customWidth="1" style="72" min="7" max="7"/>
    <col width="14" customWidth="1" style="72" min="8" max="8"/>
    <col width="6" customWidth="1" style="72" min="10" max="25"/>
    <col width="18" customWidth="1" style="72" min="18" max="20"/>
    <col width="14" customWidth="1" style="72" min="27" max="28"/>
  </cols>
  <sheetData>
    <row r="1" ht="28" customHeight="1" s="72">
      <c r="A1" s="42" t="inlineStr">
        <is>
          <t>Dashboard de Triagem Example Organization 2026</t>
        </is>
      </c>
      <c r="AA1" s="26" t="inlineStr">
        <is>
          <t>Região (apoio heatmap)</t>
        </is>
      </c>
      <c r="AB1" s="27" t="inlineStr">
        <is>
          <t>Qtd</t>
        </is>
      </c>
    </row>
    <row r="2">
      <c r="J2" s="26" t="inlineStr">
        <is>
          <t>Status dos candidatos</t>
        </is>
      </c>
      <c r="R2" s="26" t="inlineStr">
        <is>
          <t>Distribuição por turma</t>
        </is>
      </c>
      <c r="AA2" s="17" t="inlineStr">
        <is>
          <t>AC</t>
        </is>
      </c>
      <c r="AB2" s="17">
        <f>COUNTIFS(Candidatos!B2:B1001,"?*",Candidatos!F2:F1001,AA2)</f>
        <v/>
      </c>
    </row>
    <row r="3">
      <c r="A3" s="54" t="inlineStr">
        <is>
          <t>Indicador</t>
        </is>
      </c>
      <c r="B3" s="55" t="inlineStr">
        <is>
          <t>Valor</t>
        </is>
      </c>
      <c r="C3" s="55" t="inlineStr">
        <is>
          <t>Indicador</t>
        </is>
      </c>
      <c r="D3" s="55" t="inlineStr">
        <is>
          <t>Valor</t>
        </is>
      </c>
      <c r="E3" s="55" t="inlineStr">
        <is>
          <t>Indicador</t>
        </is>
      </c>
      <c r="F3" s="55" t="inlineStr">
        <is>
          <t>Valor</t>
        </is>
      </c>
      <c r="G3" s="55" t="inlineStr">
        <is>
          <t>Indicador</t>
        </is>
      </c>
      <c r="H3" s="56" t="inlineStr">
        <is>
          <t>Valor</t>
        </is>
      </c>
      <c r="J3" s="26" t="inlineStr">
        <is>
          <t>Categoria</t>
        </is>
      </c>
      <c r="K3" s="27" t="inlineStr">
        <is>
          <t>Qtd</t>
        </is>
      </c>
      <c r="L3" s="27" t="inlineStr">
        <is>
          <t>Barra</t>
        </is>
      </c>
      <c r="R3" s="26" t="inlineStr">
        <is>
          <t>Turma</t>
        </is>
      </c>
      <c r="S3" s="27" t="inlineStr">
        <is>
          <t>Qtd</t>
        </is>
      </c>
      <c r="T3" s="27" t="inlineStr">
        <is>
          <t>Barra</t>
        </is>
      </c>
      <c r="AA3" s="17" t="inlineStr">
        <is>
          <t>AL</t>
        </is>
      </c>
      <c r="AB3" s="17">
        <f>COUNTIFS(Candidatos!B2:B1001,"?*",Candidatos!F2:F1001,AA3)</f>
        <v/>
      </c>
    </row>
    <row r="4">
      <c r="A4" s="17" t="inlineStr">
        <is>
          <t>Total de inscritos</t>
        </is>
      </c>
      <c r="B4" s="17">
        <f>COUNTIF(Candidatos!B2:B1001,"?*")</f>
        <v/>
      </c>
      <c r="C4" s="17" t="inlineStr">
        <is>
          <t>Sem equipe</t>
        </is>
      </c>
      <c r="D4" s="17">
        <f>COUNTIFS(Candidatos!B2:B1001,"?*",Candidatos!J2:J1001,"")</f>
        <v/>
      </c>
      <c r="E4" s="17" t="inlineStr">
        <is>
          <t>Sem agendamento</t>
        </is>
      </c>
      <c r="F4" s="17">
        <f>COUNTIFS(Candidatos!B2:B1001,"?*",Candidatos!K2:K1001,"")</f>
        <v/>
      </c>
      <c r="G4" s="17" t="inlineStr">
        <is>
          <t>Sem status</t>
        </is>
      </c>
      <c r="H4" s="17">
        <f>COUNTIFS(Candidatos!B2:B1001,"?*",Candidatos!L2:L1001,"")</f>
        <v/>
      </c>
      <c r="J4" s="17">
        <f>A9</f>
        <v/>
      </c>
      <c r="K4" s="17">
        <f>B9</f>
        <v/>
      </c>
      <c r="L4" s="17">
        <f>REPT("█",ROUND(IF(MAX($B$9:$B$14)=0,0,$K4/MAX($B$9:$B$14)*20),0))</f>
        <v/>
      </c>
      <c r="R4" s="17">
        <f>G9</f>
        <v/>
      </c>
      <c r="S4" s="17">
        <f>H9</f>
        <v/>
      </c>
      <c r="T4" s="17">
        <f>REPT("█",ROUND(IF(MAX($H$9:$H$11)=0,0,$S4/MAX($H$9:$H$11)*20),0))</f>
        <v/>
      </c>
      <c r="AA4" s="17" t="inlineStr">
        <is>
          <t>AP</t>
        </is>
      </c>
      <c r="AB4" s="17">
        <f>COUNTIFS(Candidatos!B2:B1001,"?*",Candidatos!F2:F1001,AA4)</f>
        <v/>
      </c>
    </row>
    <row r="5">
      <c r="A5" s="17" t="inlineStr">
        <is>
          <t>Aprovados</t>
        </is>
      </c>
      <c r="B5" s="17">
        <f>COUNTIFS(Candidatos!B2:B1001,"?*",Candidatos!L2:L1001,"Aprovado")</f>
        <v/>
      </c>
      <c r="C5" s="17" t="inlineStr">
        <is>
          <t>Pré-aprovados</t>
        </is>
      </c>
      <c r="D5" s="17">
        <f>COUNTIFS(Candidatos!B2:B1001,"?*",Candidatos!L2:L1001,"Pré-aprovado")</f>
        <v/>
      </c>
      <c r="E5" s="17" t="inlineStr">
        <is>
          <t>Em análise</t>
        </is>
      </c>
      <c r="F5" s="17">
        <f>COUNTIFS(Candidatos!B2:B1001,"?*",Candidatos!L2:L1001,"Em análise")</f>
        <v/>
      </c>
      <c r="G5" s="17" t="inlineStr">
        <is>
          <t>Negados</t>
        </is>
      </c>
      <c r="H5" s="17">
        <f>COUNTIFS(Candidatos!B2:B1001,"?*",Candidatos!L2:L1001,"Negado")</f>
        <v/>
      </c>
      <c r="J5" s="17">
        <f>A10</f>
        <v/>
      </c>
      <c r="K5" s="17">
        <f>B10</f>
        <v/>
      </c>
      <c r="L5" s="17">
        <f>REPT("█",ROUND(IF(MAX($B$9:$B$14)=0,0,$K5/MAX($B$9:$B$14)*20),0))</f>
        <v/>
      </c>
      <c r="R5" s="17">
        <f>G10</f>
        <v/>
      </c>
      <c r="S5" s="17">
        <f>H10</f>
        <v/>
      </c>
      <c r="T5" s="17">
        <f>REPT("█",ROUND(IF(MAX($H$9:$H$11)=0,0,$S5/MAX($H$9:$H$11)*20),0))</f>
        <v/>
      </c>
      <c r="AA5" s="17" t="inlineStr">
        <is>
          <t>AM</t>
        </is>
      </c>
      <c r="AB5" s="17">
        <f>COUNTIFS(Candidatos!B2:B1001,"?*",Candidatos!F2:F1001,AA5)</f>
        <v/>
      </c>
    </row>
    <row r="6">
      <c r="A6" s="17" t="inlineStr">
        <is>
          <t>Desistências</t>
        </is>
      </c>
      <c r="B6" s="17">
        <f>COUNTIFS(Candidatos!B2:B1001,"?*",Candidatos!L2:L1001,"Desistência")</f>
        <v/>
      </c>
      <c r="C6" s="17" t="inlineStr">
        <is>
          <t>Taxa de aprovação</t>
        </is>
      </c>
      <c r="D6" s="83">
        <f>IFERROR(B5/B4,0)</f>
        <v/>
      </c>
      <c r="E6" s="17" t="inlineStr">
        <is>
          <t>Pendências</t>
        </is>
      </c>
      <c r="F6" s="17">
        <f>COUNTIF(Candidatos!O2:O1001,"?*")</f>
        <v/>
      </c>
      <c r="G6" s="17" t="inlineStr">
        <is>
          <t>Último ID</t>
        </is>
      </c>
      <c r="H6" s="17">
        <f>IFERROR(MAX(Candidatos!A2:A1001),0)</f>
        <v/>
      </c>
      <c r="J6" s="17">
        <f>A11</f>
        <v/>
      </c>
      <c r="K6" s="17">
        <f>B11</f>
        <v/>
      </c>
      <c r="L6" s="17">
        <f>REPT("█",ROUND(IF(MAX($B$9:$B$14)=0,0,$K6/MAX($B$9:$B$14)*20),0))</f>
        <v/>
      </c>
      <c r="R6" s="17">
        <f>G11</f>
        <v/>
      </c>
      <c r="S6" s="17">
        <f>H11</f>
        <v/>
      </c>
      <c r="T6" s="17">
        <f>REPT("█",ROUND(IF(MAX($H$9:$H$11)=0,0,$S6/MAX($H$9:$H$11)*20),0))</f>
        <v/>
      </c>
      <c r="AA6" s="17" t="inlineStr">
        <is>
          <t>BA</t>
        </is>
      </c>
      <c r="AB6" s="17">
        <f>COUNTIFS(Candidatos!B2:B1001,"?*",Candidatos!F2:F1001,AA6)</f>
        <v/>
      </c>
    </row>
    <row r="7">
      <c r="J7" s="17">
        <f>A12</f>
        <v/>
      </c>
      <c r="K7" s="17">
        <f>B12</f>
        <v/>
      </c>
      <c r="L7" s="17">
        <f>REPT("█",ROUND(IF(MAX($B$9:$B$14)=0,0,$K7/MAX($B$9:$B$14)*20),0))</f>
        <v/>
      </c>
      <c r="AA7" s="17" t="inlineStr">
        <is>
          <t>CE</t>
        </is>
      </c>
      <c r="AB7" s="17">
        <f>COUNTIFS(Candidatos!B2:B1001,"?*",Candidatos!F2:F1001,AA7)</f>
        <v/>
      </c>
    </row>
    <row r="8">
      <c r="A8" s="26" t="inlineStr">
        <is>
          <t>Resumo por status</t>
        </is>
      </c>
      <c r="B8" s="27" t="inlineStr">
        <is>
          <t>Quantidade</t>
        </is>
      </c>
      <c r="D8" s="26" t="inlineStr">
        <is>
          <t>Resumo por equipe</t>
        </is>
      </c>
      <c r="E8" s="27" t="inlineStr">
        <is>
          <t>Quantidade</t>
        </is>
      </c>
      <c r="G8" s="26" t="inlineStr">
        <is>
          <t>Resumo por turma</t>
        </is>
      </c>
      <c r="H8" s="27" t="inlineStr">
        <is>
          <t>Quantidade</t>
        </is>
      </c>
      <c r="J8" s="17">
        <f>A13</f>
        <v/>
      </c>
      <c r="K8" s="17">
        <f>B13</f>
        <v/>
      </c>
      <c r="L8" s="17">
        <f>REPT("█",ROUND(IF(MAX($B$9:$B$14)=0,0,$K8/MAX($B$9:$B$14)*20),0))</f>
        <v/>
      </c>
      <c r="AA8" s="17" t="inlineStr">
        <is>
          <t>DF</t>
        </is>
      </c>
      <c r="AB8" s="17">
        <f>COUNTIFS(Candidatos!B2:B1001,"?*",Candidatos!F2:F1001,AA8)</f>
        <v/>
      </c>
    </row>
    <row r="9">
      <c r="A9" s="17" t="inlineStr">
        <is>
          <t>Aprovado</t>
        </is>
      </c>
      <c r="B9" s="17">
        <f>COUNTIFS(Candidatos!B2:B1001,"?*",Candidatos!L2:L1001,"Aprovado")</f>
        <v/>
      </c>
      <c r="D9" s="17" t="inlineStr">
        <is>
          <t>Team A</t>
        </is>
      </c>
      <c r="E9" s="17">
        <f>COUNTIFS(Candidatos!B2:B1001,"?*",Candidatos!J2:J1001,"Team A")</f>
        <v/>
      </c>
      <c r="G9" s="17" t="inlineStr">
        <is>
          <t>Online T</t>
        </is>
      </c>
      <c r="H9" s="17">
        <f>COUNTIFS(Candidatos!B2:B1001,"?*",Candidatos!G2:G1001,"Online T")</f>
        <v/>
      </c>
      <c r="J9" s="17">
        <f>A14</f>
        <v/>
      </c>
      <c r="K9" s="17">
        <f>B14</f>
        <v/>
      </c>
      <c r="L9" s="17">
        <f>REPT("█",ROUND(IF(MAX($B$9:$B$14)=0,0,$K9/MAX($B$9:$B$14)*20),0))</f>
        <v/>
      </c>
      <c r="AA9" s="17" t="inlineStr">
        <is>
          <t>ES</t>
        </is>
      </c>
      <c r="AB9" s="17">
        <f>COUNTIFS(Candidatos!B2:B1001,"?*",Candidatos!F2:F1001,AA9)</f>
        <v/>
      </c>
    </row>
    <row r="10">
      <c r="A10" s="17" t="inlineStr">
        <is>
          <t>Pré-aprovado</t>
        </is>
      </c>
      <c r="B10" s="17">
        <f>COUNTIFS(Candidatos!B2:B1001,"?*",Candidatos!L2:L1001,"Pré-aprovado")</f>
        <v/>
      </c>
      <c r="D10" s="17" t="inlineStr">
        <is>
          <t>Team B</t>
        </is>
      </c>
      <c r="E10" s="17">
        <f>COUNTIFS(Candidatos!B2:B1001,"?*",Candidatos!J2:J1001,"Team B")</f>
        <v/>
      </c>
      <c r="G10" s="17" t="inlineStr">
        <is>
          <t>Online M</t>
        </is>
      </c>
      <c r="H10" s="17">
        <f>COUNTIFS(Candidatos!B2:B1001,"?*",Candidatos!G2:G1001,"Online M")</f>
        <v/>
      </c>
      <c r="AA10" s="17" t="inlineStr">
        <is>
          <t>GO</t>
        </is>
      </c>
      <c r="AB10" s="17">
        <f>COUNTIFS(Candidatos!B2:B1001,"?*",Candidatos!F2:F1001,AA10)</f>
        <v/>
      </c>
    </row>
    <row r="11">
      <c r="A11" s="17" t="inlineStr">
        <is>
          <t>Em análise</t>
        </is>
      </c>
      <c r="B11" s="17">
        <f>COUNTIFS(Candidatos!B2:B1001,"?*",Candidatos!L2:L1001,"Em análise")</f>
        <v/>
      </c>
      <c r="D11" s="17" t="inlineStr">
        <is>
          <t>Team C</t>
        </is>
      </c>
      <c r="E11" s="17">
        <f>COUNTIFS(Candidatos!B2:B1001,"?*",Candidatos!J2:J1001,"Team C")</f>
        <v/>
      </c>
      <c r="G11" s="17" t="inlineStr">
        <is>
          <t>Presencial</t>
        </is>
      </c>
      <c r="H11" s="17">
        <f>COUNTIFS(Candidatos!B2:B1001,"?*",Candidatos!G2:G1001,"Presencial")</f>
        <v/>
      </c>
      <c r="AA11" s="17" t="inlineStr">
        <is>
          <t>MA</t>
        </is>
      </c>
      <c r="AB11" s="17">
        <f>COUNTIFS(Candidatos!B2:B1001,"?*",Candidatos!F2:F1001,AA11)</f>
        <v/>
      </c>
    </row>
    <row r="12">
      <c r="A12" s="17" t="inlineStr">
        <is>
          <t>Negado</t>
        </is>
      </c>
      <c r="B12" s="17">
        <f>COUNTIFS(Candidatos!B2:B1001,"?*",Candidatos!L2:L1001,"Negado")</f>
        <v/>
      </c>
      <c r="D12" s="17" t="n"/>
      <c r="E12" s="17" t="n"/>
      <c r="AA12" s="17" t="inlineStr">
        <is>
          <t>MT</t>
        </is>
      </c>
      <c r="AB12" s="17">
        <f>COUNTIFS(Candidatos!B2:B1001,"?*",Candidatos!F2:F1001,AA12)</f>
        <v/>
      </c>
    </row>
    <row r="13">
      <c r="A13" s="17" t="inlineStr">
        <is>
          <t>Desistência</t>
        </is>
      </c>
      <c r="B13" s="17">
        <f>COUNTIFS(Candidatos!B2:B1001,"?*",Candidatos!L2:L1001,"Desistência")</f>
        <v/>
      </c>
      <c r="D13" s="17" t="n"/>
      <c r="E13" s="17" t="n"/>
      <c r="AA13" s="17" t="inlineStr">
        <is>
          <t>MS</t>
        </is>
      </c>
      <c r="AB13" s="17">
        <f>COUNTIFS(Candidatos!B2:B1001,"?*",Candidatos!F2:F1001,AA13)</f>
        <v/>
      </c>
    </row>
    <row r="14">
      <c r="A14" s="17" t="inlineStr">
        <is>
          <t>Sem status</t>
        </is>
      </c>
      <c r="B14" s="17">
        <f>COUNTIFS(Candidatos!B2:B1001,"?*",Candidatos!L2:L1001,"")</f>
        <v/>
      </c>
      <c r="AA14" s="17" t="inlineStr">
        <is>
          <t>MG</t>
        </is>
      </c>
      <c r="AB14" s="17">
        <f>COUNTIFS(Candidatos!B2:B1001,"?*",Candidatos!F2:F1001,AA14)</f>
        <v/>
      </c>
    </row>
    <row r="15">
      <c r="AA15" s="17" t="inlineStr">
        <is>
          <t>PA</t>
        </is>
      </c>
      <c r="AB15" s="17">
        <f>COUNTIFS(Candidatos!B2:B1001,"?*",Candidatos!F2:F1001,AA15)</f>
        <v/>
      </c>
    </row>
    <row r="16">
      <c r="A16" s="26" t="inlineStr">
        <is>
          <t>Região</t>
        </is>
      </c>
      <c r="B16" s="27" t="inlineStr">
        <is>
          <t>Quantidade</t>
        </is>
      </c>
      <c r="D16" s="84" t="inlineStr">
        <is>
          <t>Instruções rápidas</t>
        </is>
      </c>
      <c r="E16" s="85" t="n"/>
      <c r="F16" s="85" t="n"/>
      <c r="G16" s="85" t="n"/>
      <c r="H16" s="86" t="n"/>
      <c r="AA16" s="17" t="inlineStr">
        <is>
          <t>PB</t>
        </is>
      </c>
      <c r="AB16" s="17">
        <f>COUNTIFS(Candidatos!B2:B1001,"?*",Candidatos!F2:F1001,AA16)</f>
        <v/>
      </c>
    </row>
    <row r="17">
      <c r="A17" s="17" t="inlineStr">
        <is>
          <t>SP</t>
        </is>
      </c>
      <c r="B17" s="17">
        <f>COUNTIFS(Candidatos!B2:B1001,"?*",Candidatos!F2:F1001,"SP")</f>
        <v/>
      </c>
      <c r="D17" s="17" t="inlineStr">
        <is>
          <t>1. Preencha a aba Database com os inscritos.</t>
        </is>
      </c>
      <c r="E17" s="17" t="n"/>
      <c r="F17" s="17" t="n"/>
      <c r="G17" s="17" t="n"/>
      <c r="H17" s="17" t="n"/>
      <c r="AA17" s="17" t="inlineStr">
        <is>
          <t>PR</t>
        </is>
      </c>
      <c r="AB17" s="17">
        <f>COUNTIFS(Candidatos!B2:B1001,"?*",Candidatos!F2:F1001,AA17)</f>
        <v/>
      </c>
    </row>
    <row r="18">
      <c r="A18" s="17" t="inlineStr">
        <is>
          <t>RJ</t>
        </is>
      </c>
      <c r="B18" s="17">
        <f>COUNTIFS(Candidatos!B2:B1001,"?*",Candidatos!F2:F1001,"RJ")</f>
        <v/>
      </c>
      <c r="D18" s="17" t="inlineStr">
        <is>
          <t>2. Faça a triagem na aba Candidatos.</t>
        </is>
      </c>
      <c r="E18" s="17" t="n"/>
      <c r="F18" s="17" t="n"/>
      <c r="G18" s="17" t="n"/>
      <c r="H18" s="17" t="n"/>
      <c r="AA18" s="17" t="inlineStr">
        <is>
          <t>PE</t>
        </is>
      </c>
      <c r="AB18" s="17">
        <f>COUNTIFS(Candidatos!B2:B1001,"?*",Candidatos!F2:F1001,AA18)</f>
        <v/>
      </c>
    </row>
    <row r="19">
      <c r="A19" s="17" t="inlineStr">
        <is>
          <t>BA</t>
        </is>
      </c>
      <c r="B19" s="17">
        <f>COUNTIFS(Candidatos!B2:B1001,"?*",Candidatos!F2:F1001,"BA")</f>
        <v/>
      </c>
      <c r="D19" s="17" t="inlineStr">
        <is>
          <t>3. As abas por status e equipe atualizam automaticamente.</t>
        </is>
      </c>
      <c r="E19" s="17" t="n"/>
      <c r="F19" s="17" t="n"/>
      <c r="G19" s="17" t="n"/>
      <c r="H19" s="17" t="n"/>
      <c r="AA19" s="17" t="inlineStr">
        <is>
          <t>PI</t>
        </is>
      </c>
      <c r="AB19" s="17">
        <f>COUNTIFS(Candidatos!B2:B1001,"?*",Candidatos!F2:F1001,AA19)</f>
        <v/>
      </c>
    </row>
    <row r="20">
      <c r="A20" s="17" t="inlineStr">
        <is>
          <t>MG</t>
        </is>
      </c>
      <c r="B20" s="17">
        <f>COUNTIFS(Candidatos!B2:B1001,"?*",Candidatos!F2:F1001,"MG")</f>
        <v/>
      </c>
      <c r="D20" s="17" t="inlineStr">
        <is>
          <t>4. Adicione novos motivos na aba legenda quando necessário.</t>
        </is>
      </c>
      <c r="E20" s="17" t="n"/>
      <c r="F20" s="17" t="n"/>
      <c r="G20" s="17" t="n"/>
      <c r="H20" s="17" t="n"/>
      <c r="J20" s="26" t="inlineStr">
        <is>
          <t>Distribuição por equipe</t>
        </is>
      </c>
      <c r="R20" s="26" t="inlineStr">
        <is>
          <t>Regiões monitoradas</t>
        </is>
      </c>
      <c r="AA20" s="17" t="inlineStr">
        <is>
          <t>RJ</t>
        </is>
      </c>
      <c r="AB20" s="17">
        <f>COUNTIFS(Candidatos!B2:B1001,"?*",Candidatos!F2:F1001,AA20)</f>
        <v/>
      </c>
    </row>
    <row r="21">
      <c r="A21" s="17" t="inlineStr">
        <is>
          <t>PE</t>
        </is>
      </c>
      <c r="B21" s="17">
        <f>COUNTIFS(Candidatos!B2:B1001,"?*",Candidatos!F2:F1001,"PE")</f>
        <v/>
      </c>
      <c r="D21" s="17" t="inlineStr">
        <is>
          <t>5. Esta versão foi preparada para Excel e Google Sheets.</t>
        </is>
      </c>
      <c r="E21" s="17" t="n"/>
      <c r="F21" s="17" t="n"/>
      <c r="G21" s="17" t="n"/>
      <c r="H21" s="17" t="n"/>
      <c r="J21" s="26" t="inlineStr">
        <is>
          <t>Equipe</t>
        </is>
      </c>
      <c r="K21" s="27" t="inlineStr">
        <is>
          <t>Qtd</t>
        </is>
      </c>
      <c r="L21" s="27" t="inlineStr">
        <is>
          <t>Barra</t>
        </is>
      </c>
      <c r="R21" s="26" t="inlineStr">
        <is>
          <t>Região</t>
        </is>
      </c>
      <c r="S21" s="27" t="inlineStr">
        <is>
          <t>Qtd</t>
        </is>
      </c>
      <c r="T21" s="27" t="inlineStr">
        <is>
          <t>Barra</t>
        </is>
      </c>
      <c r="AA21" s="17" t="inlineStr">
        <is>
          <t>RN</t>
        </is>
      </c>
      <c r="AB21" s="17">
        <f>COUNTIFS(Candidatos!B2:B1001,"?*",Candidatos!F2:F1001,AA21)</f>
        <v/>
      </c>
    </row>
    <row r="22">
      <c r="A22" s="17" t="inlineStr">
        <is>
          <t>PR</t>
        </is>
      </c>
      <c r="B22" s="17">
        <f>COUNTIFS(Candidatos!B2:B1001,"?*",Candidatos!F2:F1001,"PR")</f>
        <v/>
      </c>
      <c r="D22" s="17" t="n"/>
      <c r="E22" s="17" t="n"/>
      <c r="F22" s="17" t="n"/>
      <c r="G22" s="17" t="n"/>
      <c r="H22" s="17" t="n"/>
      <c r="J22" s="17">
        <f>D9</f>
        <v/>
      </c>
      <c r="K22" s="17">
        <f>E9</f>
        <v/>
      </c>
      <c r="L22" s="17">
        <f>REPT("█",ROUND(IF(MAX($E$9:$E$13)=0,0,$K22/MAX($E$9:$E$13)*20),0))</f>
        <v/>
      </c>
      <c r="R22" s="17">
        <f>A17</f>
        <v/>
      </c>
      <c r="S22" s="17">
        <f>B17</f>
        <v/>
      </c>
      <c r="T22" s="17">
        <f>REPT("█",ROUND(IF(MAX($B$17:$B$25)=0,0,$S22/MAX($B$17:$B$25)*20),0))</f>
        <v/>
      </c>
      <c r="AA22" s="17" t="inlineStr">
        <is>
          <t>RS</t>
        </is>
      </c>
      <c r="AB22" s="17">
        <f>COUNTIFS(Candidatos!B2:B1001,"?*",Candidatos!F2:F1001,AA22)</f>
        <v/>
      </c>
    </row>
    <row r="23">
      <c r="A23" s="17" t="inlineStr">
        <is>
          <t>RS</t>
        </is>
      </c>
      <c r="B23" s="17">
        <f>COUNTIFS(Candidatos!B2:B1001,"?*",Candidatos!F2:F1001,"RS")</f>
        <v/>
      </c>
      <c r="D23" s="17" t="inlineStr">
        <is>
          <t>Observação</t>
        </is>
      </c>
      <c r="E23" s="17" t="inlineStr">
        <is>
          <t>Os dados são limitados às linhas 2:1001 para manter compatibilidade.</t>
        </is>
      </c>
      <c r="F23" s="17" t="n"/>
      <c r="G23" s="17" t="n"/>
      <c r="H23" s="17" t="n"/>
      <c r="J23" s="17">
        <f>D10</f>
        <v/>
      </c>
      <c r="K23" s="17">
        <f>E10</f>
        <v/>
      </c>
      <c r="L23" s="17">
        <f>REPT("█",ROUND(IF(MAX($E$9:$E$13)=0,0,$K23/MAX($E$9:$E$13)*20),0))</f>
        <v/>
      </c>
      <c r="R23" s="17">
        <f>A18</f>
        <v/>
      </c>
      <c r="S23" s="17">
        <f>B18</f>
        <v/>
      </c>
      <c r="T23" s="17">
        <f>REPT("█",ROUND(IF(MAX($B$17:$B$25)=0,0,$S23/MAX($B$17:$B$25)*20),0))</f>
        <v/>
      </c>
      <c r="AA23" s="17" t="inlineStr">
        <is>
          <t>RO</t>
        </is>
      </c>
      <c r="AB23" s="17">
        <f>COUNTIFS(Candidatos!B2:B1001,"?*",Candidatos!F2:F1001,AA23)</f>
        <v/>
      </c>
    </row>
    <row r="24">
      <c r="A24" s="17" t="inlineStr">
        <is>
          <t>SC</t>
        </is>
      </c>
      <c r="B24" s="17">
        <f>COUNTIFS(Candidatos!B2:B1001,"?*",Candidatos!F2:F1001,"SC")</f>
        <v/>
      </c>
      <c r="D24" s="17" t="inlineStr">
        <is>
          <t>Personalização</t>
        </is>
      </c>
      <c r="E24" s="17" t="inlineStr">
        <is>
          <t>Você pode pedir novos indicadores específicos depois.</t>
        </is>
      </c>
      <c r="F24" s="17" t="n"/>
      <c r="G24" s="17" t="n"/>
      <c r="H24" s="17" t="n"/>
      <c r="J24" s="17">
        <f>D11</f>
        <v/>
      </c>
      <c r="K24" s="17">
        <f>E11</f>
        <v/>
      </c>
      <c r="L24" s="17">
        <f>REPT("█",ROUND(IF(MAX($E$9:$E$13)=0,0,$K24/MAX($E$9:$E$13)*20),0))</f>
        <v/>
      </c>
      <c r="R24" s="17">
        <f>A19</f>
        <v/>
      </c>
      <c r="S24" s="17">
        <f>B19</f>
        <v/>
      </c>
      <c r="T24" s="17">
        <f>REPT("█",ROUND(IF(MAX($B$17:$B$25)=0,0,$S24/MAX($B$17:$B$25)*20),0))</f>
        <v/>
      </c>
      <c r="AA24" s="17" t="inlineStr">
        <is>
          <t>RR</t>
        </is>
      </c>
      <c r="AB24" s="17">
        <f>COUNTIFS(Candidatos!B2:B1001,"?*",Candidatos!F2:F1001,AA24)</f>
        <v/>
      </c>
    </row>
    <row r="25">
      <c r="A25" s="17" t="inlineStr">
        <is>
          <t>Outras</t>
        </is>
      </c>
      <c r="B25" s="17">
        <f>COUNTIFS(Candidatos!F2:F1001,"?*",Candidatos!F2:F1001,"&lt;&gt;SP",Candidatos!F2:F1001,"&lt;&gt;RJ",Candidatos!F2:F1001,"&lt;&gt;BA",Candidatos!F2:F1001,"&lt;&gt;MG",Candidatos!F2:F1001,"&lt;&gt;PE",Candidatos!F2:F1001,"&lt;&gt;PR",Candidatos!F2:F1001,"&lt;&gt;RS",Candidatos!F2:F1001,"&lt;&gt;SC")</f>
        <v/>
      </c>
      <c r="D25" s="17" t="n"/>
      <c r="E25" s="17" t="n"/>
      <c r="F25" s="17" t="n"/>
      <c r="G25" s="17" t="n"/>
      <c r="H25" s="17" t="n"/>
      <c r="J25" s="17">
        <f>D12</f>
        <v/>
      </c>
      <c r="K25" s="17">
        <f>E12</f>
        <v/>
      </c>
      <c r="L25" s="17">
        <f>REPT("█",ROUND(IF(MAX($E$9:$E$13)=0,0,$K25/MAX($E$9:$E$13)*20),0))</f>
        <v/>
      </c>
      <c r="R25" s="17">
        <f>A20</f>
        <v/>
      </c>
      <c r="S25" s="17">
        <f>B20</f>
        <v/>
      </c>
      <c r="T25" s="17">
        <f>REPT("█",ROUND(IF(MAX($B$17:$B$25)=0,0,$S25/MAX($B$17:$B$25)*20),0))</f>
        <v/>
      </c>
      <c r="AA25" s="17" t="inlineStr">
        <is>
          <t>SC</t>
        </is>
      </c>
      <c r="AB25" s="17">
        <f>COUNTIFS(Candidatos!B2:B1001,"?*",Candidatos!F2:F1001,AA25)</f>
        <v/>
      </c>
    </row>
    <row r="26">
      <c r="J26" s="17">
        <f>D13</f>
        <v/>
      </c>
      <c r="K26" s="17">
        <f>E13</f>
        <v/>
      </c>
      <c r="L26" s="17">
        <f>REPT("█",ROUND(IF(MAX($E$9:$E$13)=0,0,$K26/MAX($E$9:$E$13)*20),0))</f>
        <v/>
      </c>
      <c r="R26" s="17">
        <f>A21</f>
        <v/>
      </c>
      <c r="S26" s="17">
        <f>B21</f>
        <v/>
      </c>
      <c r="T26" s="17">
        <f>REPT("█",ROUND(IF(MAX($B$17:$B$25)=0,0,$S26/MAX($B$17:$B$25)*20),0))</f>
        <v/>
      </c>
      <c r="AA26" s="17" t="inlineStr">
        <is>
          <t>SP</t>
        </is>
      </c>
      <c r="AB26" s="17">
        <f>COUNTIFS(Candidatos!B2:B1001,"?*",Candidatos!F2:F1001,AA26)</f>
        <v/>
      </c>
    </row>
    <row r="27">
      <c r="R27" s="17">
        <f>A22</f>
        <v/>
      </c>
      <c r="S27" s="17">
        <f>B22</f>
        <v/>
      </c>
      <c r="T27" s="17">
        <f>REPT("█",ROUND(IF(MAX($B$17:$B$25)=0,0,$S27/MAX($B$17:$B$25)*20),0))</f>
        <v/>
      </c>
      <c r="AA27" s="17" t="inlineStr">
        <is>
          <t>SE</t>
        </is>
      </c>
      <c r="AB27" s="17">
        <f>COUNTIFS(Candidatos!B2:B1001,"?*",Candidatos!F2:F1001,AA27)</f>
        <v/>
      </c>
    </row>
    <row r="28">
      <c r="R28" s="17">
        <f>A23</f>
        <v/>
      </c>
      <c r="S28" s="17">
        <f>B23</f>
        <v/>
      </c>
      <c r="T28" s="17">
        <f>REPT("█",ROUND(IF(MAX($B$17:$B$25)=0,0,$S28/MAX($B$17:$B$25)*20),0))</f>
        <v/>
      </c>
      <c r="AA28" s="17" t="inlineStr">
        <is>
          <t>TO</t>
        </is>
      </c>
      <c r="AB28" s="17">
        <f>COUNTIFS(Candidatos!B2:B1001,"?*",Candidatos!F2:F1001,AA28)</f>
        <v/>
      </c>
    </row>
    <row r="29">
      <c r="R29" s="17">
        <f>A24</f>
        <v/>
      </c>
      <c r="S29" s="17">
        <f>B24</f>
        <v/>
      </c>
      <c r="T29" s="17">
        <f>REPT("█",ROUND(IF(MAX($B$17:$B$25)=0,0,$S29/MAX($B$17:$B$25)*20),0))</f>
        <v/>
      </c>
      <c r="AA29" s="17" t="inlineStr">
        <is>
          <t>AD</t>
        </is>
      </c>
      <c r="AB29" s="17">
        <f>COUNTIFS(Candidatos!B2:B1001,"?*",Candidatos!F2:F1001,AA29)</f>
        <v/>
      </c>
    </row>
    <row r="30">
      <c r="R30" s="17">
        <f>A25</f>
        <v/>
      </c>
      <c r="S30" s="17">
        <f>B25</f>
        <v/>
      </c>
      <c r="T30" s="17">
        <f>REPT("█",ROUND(IF(MAX($B$17:$B$25)=0,0,$S30/MAX($B$17:$B$25)*20),0))</f>
        <v/>
      </c>
      <c r="AA30" s="17" t="inlineStr">
        <is>
          <t>AE</t>
        </is>
      </c>
      <c r="AB30" s="17">
        <f>COUNTIFS(Candidatos!B2:B1001,"?*",Candidatos!F2:F1001,AA30)</f>
        <v/>
      </c>
    </row>
    <row r="31">
      <c r="AA31" s="17" t="inlineStr">
        <is>
          <t>AF</t>
        </is>
      </c>
      <c r="AB31" s="17">
        <f>COUNTIFS(Candidatos!B2:B1001,"?*",Candidatos!F2:F1001,AA31)</f>
        <v/>
      </c>
    </row>
    <row r="32">
      <c r="AA32" s="17" t="inlineStr">
        <is>
          <t>AG</t>
        </is>
      </c>
      <c r="AB32" s="17">
        <f>COUNTIFS(Candidatos!B2:B1001,"?*",Candidatos!F2:F1001,AA32)</f>
        <v/>
      </c>
    </row>
    <row r="33">
      <c r="AA33" s="17" t="inlineStr">
        <is>
          <t>AI</t>
        </is>
      </c>
      <c r="AB33" s="17">
        <f>COUNTIFS(Candidatos!B2:B1001,"?*",Candidatos!F2:F1001,AA33)</f>
        <v/>
      </c>
    </row>
    <row r="34">
      <c r="AA34" s="17" t="inlineStr">
        <is>
          <t>AO</t>
        </is>
      </c>
      <c r="AB34" s="17">
        <f>COUNTIFS(Candidatos!B2:B1001,"?*",Candidatos!F2:F1001,AA34)</f>
        <v/>
      </c>
    </row>
    <row r="35">
      <c r="AA35" s="17" t="inlineStr">
        <is>
          <t>AQ</t>
        </is>
      </c>
      <c r="AB35" s="17">
        <f>COUNTIFS(Candidatos!B2:B1001,"?*",Candidatos!F2:F1001,AA35)</f>
        <v/>
      </c>
    </row>
    <row r="36">
      <c r="AA36" s="17" t="inlineStr">
        <is>
          <t>AR</t>
        </is>
      </c>
      <c r="AB36" s="17">
        <f>COUNTIFS(Candidatos!B2:B1001,"?*",Candidatos!F2:F1001,AA36)</f>
        <v/>
      </c>
    </row>
    <row r="37">
      <c r="AA37" s="17" t="inlineStr">
        <is>
          <t>AS</t>
        </is>
      </c>
      <c r="AB37" s="17">
        <f>COUNTIFS(Candidatos!B2:B1001,"?*",Candidatos!F2:F1001,AA37)</f>
        <v/>
      </c>
    </row>
    <row r="38">
      <c r="J38" s="26" t="inlineStr">
        <is>
          <t>Zona de calor por região (país/mundo)</t>
        </is>
      </c>
      <c r="K38" s="27" t="str"/>
      <c r="L38" s="27" t="str"/>
      <c r="M38" s="27" t="str"/>
      <c r="N38" s="27" t="str"/>
      <c r="O38" s="27" t="str"/>
      <c r="P38" s="27" t="str"/>
      <c r="Q38" s="27" t="str"/>
      <c r="R38" s="27" t="str"/>
      <c r="S38" s="27" t="str"/>
      <c r="T38" s="27" t="str"/>
      <c r="U38" s="27" t="str"/>
      <c r="V38" s="27" t="str"/>
      <c r="W38" s="27" t="str"/>
      <c r="X38" s="27" t="str"/>
      <c r="Y38" s="27" t="str"/>
      <c r="AA38" s="17" t="inlineStr">
        <is>
          <t>AT</t>
        </is>
      </c>
      <c r="AB38" s="17">
        <f>COUNTIFS(Candidatos!B2:B1001,"?*",Candidatos!F2:F1001,AA38)</f>
        <v/>
      </c>
    </row>
    <row r="39" ht="18" customHeight="1" s="72">
      <c r="J39" s="17" t="inlineStr">
        <is>
          <t>AC</t>
        </is>
      </c>
      <c r="K39" s="17" t="inlineStr">
        <is>
          <t>AL</t>
        </is>
      </c>
      <c r="L39" s="17" t="inlineStr">
        <is>
          <t>AP</t>
        </is>
      </c>
      <c r="M39" s="17" t="inlineStr">
        <is>
          <t>AM</t>
        </is>
      </c>
      <c r="N39" s="17" t="inlineStr">
        <is>
          <t>BA</t>
        </is>
      </c>
      <c r="O39" s="17" t="inlineStr">
        <is>
          <t>CE</t>
        </is>
      </c>
      <c r="P39" s="17" t="inlineStr">
        <is>
          <t>DF</t>
        </is>
      </c>
      <c r="Q39" s="17" t="inlineStr">
        <is>
          <t>ES</t>
        </is>
      </c>
      <c r="R39" s="17" t="inlineStr">
        <is>
          <t>GO</t>
        </is>
      </c>
      <c r="S39" s="17" t="inlineStr">
        <is>
          <t>MA</t>
        </is>
      </c>
      <c r="T39" s="17" t="inlineStr">
        <is>
          <t>MT</t>
        </is>
      </c>
      <c r="U39" s="17" t="inlineStr">
        <is>
          <t>MS</t>
        </is>
      </c>
      <c r="V39" s="17" t="inlineStr">
        <is>
          <t>MG</t>
        </is>
      </c>
      <c r="W39" s="17" t="inlineStr">
        <is>
          <t>PA</t>
        </is>
      </c>
      <c r="X39" s="17" t="inlineStr">
        <is>
          <t>PB</t>
        </is>
      </c>
      <c r="Y39" s="17" t="inlineStr">
        <is>
          <t>PR</t>
        </is>
      </c>
      <c r="AA39" s="17" t="inlineStr">
        <is>
          <t>AU</t>
        </is>
      </c>
      <c r="AB39" s="17">
        <f>COUNTIFS(Candidatos!B2:B1001,"?*",Candidatos!F2:F1001,AA39)</f>
        <v/>
      </c>
    </row>
    <row r="40" ht="18" customHeight="1" s="72">
      <c r="J40" s="17">
        <f>COUNTIFS(Candidatos!B2:B1001,"?*",Candidatos!F2:F1001,J39)</f>
        <v/>
      </c>
      <c r="K40" s="17">
        <f>COUNTIFS(Candidatos!B2:B1001,"?*",Candidatos!F2:F1001,K39)</f>
        <v/>
      </c>
      <c r="L40" s="17">
        <f>COUNTIFS(Candidatos!B2:B1001,"?*",Candidatos!F2:F1001,L39)</f>
        <v/>
      </c>
      <c r="M40" s="17">
        <f>COUNTIFS(Candidatos!B2:B1001,"?*",Candidatos!F2:F1001,M39)</f>
        <v/>
      </c>
      <c r="N40" s="17">
        <f>COUNTIFS(Candidatos!B2:B1001,"?*",Candidatos!F2:F1001,N39)</f>
        <v/>
      </c>
      <c r="O40" s="17">
        <f>COUNTIFS(Candidatos!B2:B1001,"?*",Candidatos!F2:F1001,O39)</f>
        <v/>
      </c>
      <c r="P40" s="17">
        <f>COUNTIFS(Candidatos!B2:B1001,"?*",Candidatos!F2:F1001,P39)</f>
        <v/>
      </c>
      <c r="Q40" s="17">
        <f>COUNTIFS(Candidatos!B2:B1001,"?*",Candidatos!F2:F1001,Q39)</f>
        <v/>
      </c>
      <c r="R40" s="17">
        <f>COUNTIFS(Candidatos!B2:B1001,"?*",Candidatos!F2:F1001,R39)</f>
        <v/>
      </c>
      <c r="S40" s="17">
        <f>COUNTIFS(Candidatos!B2:B1001,"?*",Candidatos!F2:F1001,S39)</f>
        <v/>
      </c>
      <c r="T40" s="17">
        <f>COUNTIFS(Candidatos!B2:B1001,"?*",Candidatos!F2:F1001,T39)</f>
        <v/>
      </c>
      <c r="U40" s="17">
        <f>COUNTIFS(Candidatos!B2:B1001,"?*",Candidatos!F2:F1001,U39)</f>
        <v/>
      </c>
      <c r="V40" s="17">
        <f>COUNTIFS(Candidatos!B2:B1001,"?*",Candidatos!F2:F1001,V39)</f>
        <v/>
      </c>
      <c r="W40" s="17">
        <f>COUNTIFS(Candidatos!B2:B1001,"?*",Candidatos!F2:F1001,W39)</f>
        <v/>
      </c>
      <c r="X40" s="17">
        <f>COUNTIFS(Candidatos!B2:B1001,"?*",Candidatos!F2:F1001,X39)</f>
        <v/>
      </c>
      <c r="Y40" s="17">
        <f>COUNTIFS(Candidatos!B2:B1001,"?*",Candidatos!F2:F1001,Y39)</f>
        <v/>
      </c>
      <c r="AA40" s="17" t="inlineStr">
        <is>
          <t>AW</t>
        </is>
      </c>
      <c r="AB40" s="17">
        <f>COUNTIFS(Candidatos!B2:B1001,"?*",Candidatos!F2:F1001,AA40)</f>
        <v/>
      </c>
    </row>
    <row r="41" ht="18" customHeight="1" s="72">
      <c r="J41" s="17" t="inlineStr">
        <is>
          <t>PE</t>
        </is>
      </c>
      <c r="K41" s="17" t="inlineStr">
        <is>
          <t>PI</t>
        </is>
      </c>
      <c r="L41" s="17" t="inlineStr">
        <is>
          <t>RJ</t>
        </is>
      </c>
      <c r="M41" s="17" t="inlineStr">
        <is>
          <t>RN</t>
        </is>
      </c>
      <c r="N41" s="17" t="inlineStr">
        <is>
          <t>RS</t>
        </is>
      </c>
      <c r="O41" s="17" t="inlineStr">
        <is>
          <t>RO</t>
        </is>
      </c>
      <c r="P41" s="17" t="inlineStr">
        <is>
          <t>RR</t>
        </is>
      </c>
      <c r="Q41" s="17" t="inlineStr">
        <is>
          <t>SC</t>
        </is>
      </c>
      <c r="R41" s="17" t="inlineStr">
        <is>
          <t>SP</t>
        </is>
      </c>
      <c r="S41" s="17" t="inlineStr">
        <is>
          <t>SE</t>
        </is>
      </c>
      <c r="T41" s="17" t="inlineStr">
        <is>
          <t>TO</t>
        </is>
      </c>
      <c r="U41" s="17" t="inlineStr">
        <is>
          <t>AD</t>
        </is>
      </c>
      <c r="V41" s="17" t="inlineStr">
        <is>
          <t>AE</t>
        </is>
      </c>
      <c r="W41" s="17" t="inlineStr">
        <is>
          <t>AF</t>
        </is>
      </c>
      <c r="X41" s="17" t="inlineStr">
        <is>
          <t>AG</t>
        </is>
      </c>
      <c r="Y41" s="17" t="inlineStr">
        <is>
          <t>AI</t>
        </is>
      </c>
      <c r="AA41" s="17" t="inlineStr">
        <is>
          <t>AX</t>
        </is>
      </c>
      <c r="AB41" s="17">
        <f>COUNTIFS(Candidatos!B2:B1001,"?*",Candidatos!F2:F1001,AA41)</f>
        <v/>
      </c>
    </row>
    <row r="42" ht="18" customHeight="1" s="72">
      <c r="J42" s="17">
        <f>COUNTIFS(Candidatos!B2:B1001,"?*",Candidatos!F2:F1001,J41)</f>
        <v/>
      </c>
      <c r="K42" s="17">
        <f>COUNTIFS(Candidatos!B2:B1001,"?*",Candidatos!F2:F1001,K41)</f>
        <v/>
      </c>
      <c r="L42" s="17">
        <f>COUNTIFS(Candidatos!B2:B1001,"?*",Candidatos!F2:F1001,L41)</f>
        <v/>
      </c>
      <c r="M42" s="17">
        <f>COUNTIFS(Candidatos!B2:B1001,"?*",Candidatos!F2:F1001,M41)</f>
        <v/>
      </c>
      <c r="N42" s="17">
        <f>COUNTIFS(Candidatos!B2:B1001,"?*",Candidatos!F2:F1001,N41)</f>
        <v/>
      </c>
      <c r="O42" s="17">
        <f>COUNTIFS(Candidatos!B2:B1001,"?*",Candidatos!F2:F1001,O41)</f>
        <v/>
      </c>
      <c r="P42" s="17">
        <f>COUNTIFS(Candidatos!B2:B1001,"?*",Candidatos!F2:F1001,P41)</f>
        <v/>
      </c>
      <c r="Q42" s="17">
        <f>COUNTIFS(Candidatos!B2:B1001,"?*",Candidatos!F2:F1001,Q41)</f>
        <v/>
      </c>
      <c r="R42" s="17">
        <f>COUNTIFS(Candidatos!B2:B1001,"?*",Candidatos!F2:F1001,R41)</f>
        <v/>
      </c>
      <c r="S42" s="17">
        <f>COUNTIFS(Candidatos!B2:B1001,"?*",Candidatos!F2:F1001,S41)</f>
        <v/>
      </c>
      <c r="T42" s="17">
        <f>COUNTIFS(Candidatos!B2:B1001,"?*",Candidatos!F2:F1001,T41)</f>
        <v/>
      </c>
      <c r="U42" s="17">
        <f>COUNTIFS(Candidatos!B2:B1001,"?*",Candidatos!F2:F1001,U41)</f>
        <v/>
      </c>
      <c r="V42" s="17">
        <f>COUNTIFS(Candidatos!B2:B1001,"?*",Candidatos!F2:F1001,V41)</f>
        <v/>
      </c>
      <c r="W42" s="17">
        <f>COUNTIFS(Candidatos!B2:B1001,"?*",Candidatos!F2:F1001,W41)</f>
        <v/>
      </c>
      <c r="X42" s="17">
        <f>COUNTIFS(Candidatos!B2:B1001,"?*",Candidatos!F2:F1001,X41)</f>
        <v/>
      </c>
      <c r="Y42" s="17">
        <f>COUNTIFS(Candidatos!B2:B1001,"?*",Candidatos!F2:F1001,Y41)</f>
        <v/>
      </c>
      <c r="AA42" s="17" t="inlineStr">
        <is>
          <t>AZ</t>
        </is>
      </c>
      <c r="AB42" s="17">
        <f>COUNTIFS(Candidatos!B2:B1001,"?*",Candidatos!F2:F1001,AA42)</f>
        <v/>
      </c>
    </row>
    <row r="43" ht="18" customHeight="1" s="72">
      <c r="J43" s="17" t="inlineStr">
        <is>
          <t>AO</t>
        </is>
      </c>
      <c r="K43" s="17" t="inlineStr">
        <is>
          <t>AQ</t>
        </is>
      </c>
      <c r="L43" s="17" t="inlineStr">
        <is>
          <t>AR</t>
        </is>
      </c>
      <c r="M43" s="17" t="inlineStr">
        <is>
          <t>AS</t>
        </is>
      </c>
      <c r="N43" s="17" t="inlineStr">
        <is>
          <t>AT</t>
        </is>
      </c>
      <c r="O43" s="17" t="inlineStr">
        <is>
          <t>AU</t>
        </is>
      </c>
      <c r="P43" s="17" t="inlineStr">
        <is>
          <t>AW</t>
        </is>
      </c>
      <c r="Q43" s="17" t="inlineStr">
        <is>
          <t>AX</t>
        </is>
      </c>
      <c r="R43" s="17" t="inlineStr">
        <is>
          <t>AZ</t>
        </is>
      </c>
      <c r="S43" s="17" t="inlineStr">
        <is>
          <t>BB</t>
        </is>
      </c>
      <c r="T43" s="17" t="inlineStr">
        <is>
          <t>BD</t>
        </is>
      </c>
      <c r="U43" s="17" t="inlineStr">
        <is>
          <t>BE</t>
        </is>
      </c>
      <c r="V43" s="17" t="inlineStr">
        <is>
          <t>BF</t>
        </is>
      </c>
      <c r="W43" s="17" t="inlineStr">
        <is>
          <t>BG</t>
        </is>
      </c>
      <c r="X43" s="17" t="inlineStr">
        <is>
          <t>BH</t>
        </is>
      </c>
      <c r="Y43" s="17" t="inlineStr">
        <is>
          <t>BI</t>
        </is>
      </c>
      <c r="AA43" s="17" t="inlineStr">
        <is>
          <t>BB</t>
        </is>
      </c>
      <c r="AB43" s="17">
        <f>COUNTIFS(Candidatos!B2:B1001,"?*",Candidatos!F2:F1001,AA43)</f>
        <v/>
      </c>
    </row>
    <row r="44" ht="18" customHeight="1" s="72">
      <c r="J44" s="17">
        <f>COUNTIFS(Candidatos!B2:B1001,"?*",Candidatos!F2:F1001,J43)</f>
        <v/>
      </c>
      <c r="K44" s="17">
        <f>COUNTIFS(Candidatos!B2:B1001,"?*",Candidatos!F2:F1001,K43)</f>
        <v/>
      </c>
      <c r="L44" s="17">
        <f>COUNTIFS(Candidatos!B2:B1001,"?*",Candidatos!F2:F1001,L43)</f>
        <v/>
      </c>
      <c r="M44" s="17">
        <f>COUNTIFS(Candidatos!B2:B1001,"?*",Candidatos!F2:F1001,M43)</f>
        <v/>
      </c>
      <c r="N44" s="17">
        <f>COUNTIFS(Candidatos!B2:B1001,"?*",Candidatos!F2:F1001,N43)</f>
        <v/>
      </c>
      <c r="O44" s="17">
        <f>COUNTIFS(Candidatos!B2:B1001,"?*",Candidatos!F2:F1001,O43)</f>
        <v/>
      </c>
      <c r="P44" s="17">
        <f>COUNTIFS(Candidatos!B2:B1001,"?*",Candidatos!F2:F1001,P43)</f>
        <v/>
      </c>
      <c r="Q44" s="17">
        <f>COUNTIFS(Candidatos!B2:B1001,"?*",Candidatos!F2:F1001,Q43)</f>
        <v/>
      </c>
      <c r="R44" s="17">
        <f>COUNTIFS(Candidatos!B2:B1001,"?*",Candidatos!F2:F1001,R43)</f>
        <v/>
      </c>
      <c r="S44" s="17">
        <f>COUNTIFS(Candidatos!B2:B1001,"?*",Candidatos!F2:F1001,S43)</f>
        <v/>
      </c>
      <c r="T44" s="17">
        <f>COUNTIFS(Candidatos!B2:B1001,"?*",Candidatos!F2:F1001,T43)</f>
        <v/>
      </c>
      <c r="U44" s="17">
        <f>COUNTIFS(Candidatos!B2:B1001,"?*",Candidatos!F2:F1001,U43)</f>
        <v/>
      </c>
      <c r="V44" s="17">
        <f>COUNTIFS(Candidatos!B2:B1001,"?*",Candidatos!F2:F1001,V43)</f>
        <v/>
      </c>
      <c r="W44" s="17">
        <f>COUNTIFS(Candidatos!B2:B1001,"?*",Candidatos!F2:F1001,W43)</f>
        <v/>
      </c>
      <c r="X44" s="17">
        <f>COUNTIFS(Candidatos!B2:B1001,"?*",Candidatos!F2:F1001,X43)</f>
        <v/>
      </c>
      <c r="Y44" s="17">
        <f>COUNTIFS(Candidatos!B2:B1001,"?*",Candidatos!F2:F1001,Y43)</f>
        <v/>
      </c>
      <c r="AA44" s="17" t="inlineStr">
        <is>
          <t>BD</t>
        </is>
      </c>
      <c r="AB44" s="17">
        <f>COUNTIFS(Candidatos!B2:B1001,"?*",Candidatos!F2:F1001,AA44)</f>
        <v/>
      </c>
    </row>
    <row r="45" ht="18" customHeight="1" s="72">
      <c r="J45" s="17" t="inlineStr">
        <is>
          <t>BJ</t>
        </is>
      </c>
      <c r="K45" s="17" t="inlineStr">
        <is>
          <t>BL</t>
        </is>
      </c>
      <c r="L45" s="17" t="inlineStr">
        <is>
          <t>BM</t>
        </is>
      </c>
      <c r="M45" s="17" t="inlineStr">
        <is>
          <t>BN</t>
        </is>
      </c>
      <c r="N45" s="17" t="inlineStr">
        <is>
          <t>BO</t>
        </is>
      </c>
      <c r="O45" s="17" t="inlineStr">
        <is>
          <t>BQ</t>
        </is>
      </c>
      <c r="P45" s="17" t="inlineStr">
        <is>
          <t>BR</t>
        </is>
      </c>
      <c r="Q45" s="17" t="inlineStr">
        <is>
          <t>BS</t>
        </is>
      </c>
      <c r="R45" s="17" t="inlineStr">
        <is>
          <t>BT</t>
        </is>
      </c>
      <c r="S45" s="17" t="inlineStr">
        <is>
          <t>BV</t>
        </is>
      </c>
      <c r="T45" s="17" t="inlineStr">
        <is>
          <t>BW</t>
        </is>
      </c>
      <c r="U45" s="17" t="inlineStr">
        <is>
          <t>BY</t>
        </is>
      </c>
      <c r="V45" s="17" t="inlineStr">
        <is>
          <t>BZ</t>
        </is>
      </c>
      <c r="W45" s="17" t="inlineStr">
        <is>
          <t>CA</t>
        </is>
      </c>
      <c r="X45" s="17" t="inlineStr">
        <is>
          <t>CC</t>
        </is>
      </c>
      <c r="Y45" s="17" t="inlineStr">
        <is>
          <t>CD</t>
        </is>
      </c>
      <c r="AA45" s="17" t="inlineStr">
        <is>
          <t>BE</t>
        </is>
      </c>
      <c r="AB45" s="17">
        <f>COUNTIFS(Candidatos!B2:B1001,"?*",Candidatos!F2:F1001,AA45)</f>
        <v/>
      </c>
    </row>
    <row r="46" ht="18" customHeight="1" s="72">
      <c r="J46" s="17">
        <f>COUNTIFS(Candidatos!B2:B1001,"?*",Candidatos!F2:F1001,J45)</f>
        <v/>
      </c>
      <c r="K46" s="17">
        <f>COUNTIFS(Candidatos!B2:B1001,"?*",Candidatos!F2:F1001,K45)</f>
        <v/>
      </c>
      <c r="L46" s="17">
        <f>COUNTIFS(Candidatos!B2:B1001,"?*",Candidatos!F2:F1001,L45)</f>
        <v/>
      </c>
      <c r="M46" s="17">
        <f>COUNTIFS(Candidatos!B2:B1001,"?*",Candidatos!F2:F1001,M45)</f>
        <v/>
      </c>
      <c r="N46" s="17">
        <f>COUNTIFS(Candidatos!B2:B1001,"?*",Candidatos!F2:F1001,N45)</f>
        <v/>
      </c>
      <c r="O46" s="17">
        <f>COUNTIFS(Candidatos!B2:B1001,"?*",Candidatos!F2:F1001,O45)</f>
        <v/>
      </c>
      <c r="P46" s="17">
        <f>COUNTIFS(Candidatos!B2:B1001,"?*",Candidatos!F2:F1001,P45)</f>
        <v/>
      </c>
      <c r="Q46" s="17">
        <f>COUNTIFS(Candidatos!B2:B1001,"?*",Candidatos!F2:F1001,Q45)</f>
        <v/>
      </c>
      <c r="R46" s="17">
        <f>COUNTIFS(Candidatos!B2:B1001,"?*",Candidatos!F2:F1001,R45)</f>
        <v/>
      </c>
      <c r="S46" s="17">
        <f>COUNTIFS(Candidatos!B2:B1001,"?*",Candidatos!F2:F1001,S45)</f>
        <v/>
      </c>
      <c r="T46" s="17">
        <f>COUNTIFS(Candidatos!B2:B1001,"?*",Candidatos!F2:F1001,T45)</f>
        <v/>
      </c>
      <c r="U46" s="17">
        <f>COUNTIFS(Candidatos!B2:B1001,"?*",Candidatos!F2:F1001,U45)</f>
        <v/>
      </c>
      <c r="V46" s="17">
        <f>COUNTIFS(Candidatos!B2:B1001,"?*",Candidatos!F2:F1001,V45)</f>
        <v/>
      </c>
      <c r="W46" s="17">
        <f>COUNTIFS(Candidatos!B2:B1001,"?*",Candidatos!F2:F1001,W45)</f>
        <v/>
      </c>
      <c r="X46" s="17">
        <f>COUNTIFS(Candidatos!B2:B1001,"?*",Candidatos!F2:F1001,X45)</f>
        <v/>
      </c>
      <c r="Y46" s="17">
        <f>COUNTIFS(Candidatos!B2:B1001,"?*",Candidatos!F2:F1001,Y45)</f>
        <v/>
      </c>
      <c r="AA46" s="17" t="inlineStr">
        <is>
          <t>BF</t>
        </is>
      </c>
      <c r="AB46" s="17">
        <f>COUNTIFS(Candidatos!B2:B1001,"?*",Candidatos!F2:F1001,AA46)</f>
        <v/>
      </c>
    </row>
    <row r="47" ht="18" customHeight="1" s="72">
      <c r="J47" s="17" t="inlineStr">
        <is>
          <t>CF</t>
        </is>
      </c>
      <c r="K47" s="17" t="inlineStr">
        <is>
          <t>CG</t>
        </is>
      </c>
      <c r="L47" s="17" t="inlineStr">
        <is>
          <t>CH</t>
        </is>
      </c>
      <c r="M47" s="17" t="inlineStr">
        <is>
          <t>CI</t>
        </is>
      </c>
      <c r="N47" s="17" t="inlineStr">
        <is>
          <t>CK</t>
        </is>
      </c>
      <c r="O47" s="17" t="inlineStr">
        <is>
          <t>CL</t>
        </is>
      </c>
      <c r="P47" s="17" t="inlineStr">
        <is>
          <t>CM</t>
        </is>
      </c>
      <c r="Q47" s="17" t="inlineStr">
        <is>
          <t>CN</t>
        </is>
      </c>
      <c r="R47" s="17" t="inlineStr">
        <is>
          <t>CO</t>
        </is>
      </c>
      <c r="S47" s="17" t="inlineStr">
        <is>
          <t>CR</t>
        </is>
      </c>
      <c r="T47" s="17" t="inlineStr">
        <is>
          <t>CU</t>
        </is>
      </c>
      <c r="U47" s="17" t="inlineStr">
        <is>
          <t>CV</t>
        </is>
      </c>
      <c r="V47" s="17" t="inlineStr">
        <is>
          <t>CW</t>
        </is>
      </c>
      <c r="W47" s="17" t="inlineStr">
        <is>
          <t>CX</t>
        </is>
      </c>
      <c r="X47" s="17" t="inlineStr">
        <is>
          <t>CY</t>
        </is>
      </c>
      <c r="Y47" s="17" t="inlineStr">
        <is>
          <t>CZ</t>
        </is>
      </c>
      <c r="AA47" s="17" t="inlineStr">
        <is>
          <t>BG</t>
        </is>
      </c>
      <c r="AB47" s="17">
        <f>COUNTIFS(Candidatos!B2:B1001,"?*",Candidatos!F2:F1001,AA47)</f>
        <v/>
      </c>
    </row>
    <row r="48" ht="18" customHeight="1" s="72">
      <c r="J48" s="17">
        <f>COUNTIFS(Candidatos!B2:B1001,"?*",Candidatos!F2:F1001,J47)</f>
        <v/>
      </c>
      <c r="K48" s="17">
        <f>COUNTIFS(Candidatos!B2:B1001,"?*",Candidatos!F2:F1001,K47)</f>
        <v/>
      </c>
      <c r="L48" s="17">
        <f>COUNTIFS(Candidatos!B2:B1001,"?*",Candidatos!F2:F1001,L47)</f>
        <v/>
      </c>
      <c r="M48" s="17">
        <f>COUNTIFS(Candidatos!B2:B1001,"?*",Candidatos!F2:F1001,M47)</f>
        <v/>
      </c>
      <c r="N48" s="17">
        <f>COUNTIFS(Candidatos!B2:B1001,"?*",Candidatos!F2:F1001,N47)</f>
        <v/>
      </c>
      <c r="O48" s="17">
        <f>COUNTIFS(Candidatos!B2:B1001,"?*",Candidatos!F2:F1001,O47)</f>
        <v/>
      </c>
      <c r="P48" s="17">
        <f>COUNTIFS(Candidatos!B2:B1001,"?*",Candidatos!F2:F1001,P47)</f>
        <v/>
      </c>
      <c r="Q48" s="17">
        <f>COUNTIFS(Candidatos!B2:B1001,"?*",Candidatos!F2:F1001,Q47)</f>
        <v/>
      </c>
      <c r="R48" s="17">
        <f>COUNTIFS(Candidatos!B2:B1001,"?*",Candidatos!F2:F1001,R47)</f>
        <v/>
      </c>
      <c r="S48" s="17">
        <f>COUNTIFS(Candidatos!B2:B1001,"?*",Candidatos!F2:F1001,S47)</f>
        <v/>
      </c>
      <c r="T48" s="17">
        <f>COUNTIFS(Candidatos!B2:B1001,"?*",Candidatos!F2:F1001,T47)</f>
        <v/>
      </c>
      <c r="U48" s="17">
        <f>COUNTIFS(Candidatos!B2:B1001,"?*",Candidatos!F2:F1001,U47)</f>
        <v/>
      </c>
      <c r="V48" s="17">
        <f>COUNTIFS(Candidatos!B2:B1001,"?*",Candidatos!F2:F1001,V47)</f>
        <v/>
      </c>
      <c r="W48" s="17">
        <f>COUNTIFS(Candidatos!B2:B1001,"?*",Candidatos!F2:F1001,W47)</f>
        <v/>
      </c>
      <c r="X48" s="17">
        <f>COUNTIFS(Candidatos!B2:B1001,"?*",Candidatos!F2:F1001,X47)</f>
        <v/>
      </c>
      <c r="Y48" s="17">
        <f>COUNTIFS(Candidatos!B2:B1001,"?*",Candidatos!F2:F1001,Y47)</f>
        <v/>
      </c>
      <c r="AA48" s="17" t="inlineStr">
        <is>
          <t>BH</t>
        </is>
      </c>
      <c r="AB48" s="17">
        <f>COUNTIFS(Candidatos!B2:B1001,"?*",Candidatos!F2:F1001,AA48)</f>
        <v/>
      </c>
    </row>
    <row r="49" ht="18" customHeight="1" s="72">
      <c r="J49" s="17" t="inlineStr">
        <is>
          <t>DE</t>
        </is>
      </c>
      <c r="K49" s="17" t="inlineStr">
        <is>
          <t>DJ</t>
        </is>
      </c>
      <c r="L49" s="17" t="inlineStr">
        <is>
          <t>DK</t>
        </is>
      </c>
      <c r="M49" s="17" t="inlineStr">
        <is>
          <t>DM</t>
        </is>
      </c>
      <c r="N49" s="17" t="inlineStr">
        <is>
          <t>DO</t>
        </is>
      </c>
      <c r="O49" s="17" t="inlineStr">
        <is>
          <t>DZ</t>
        </is>
      </c>
      <c r="P49" s="17" t="inlineStr">
        <is>
          <t>EC</t>
        </is>
      </c>
      <c r="Q49" s="17" t="inlineStr">
        <is>
          <t>EE</t>
        </is>
      </c>
      <c r="R49" s="17" t="inlineStr">
        <is>
          <t>EG</t>
        </is>
      </c>
      <c r="S49" s="17" t="inlineStr">
        <is>
          <t>EH</t>
        </is>
      </c>
      <c r="T49" s="17" t="inlineStr">
        <is>
          <t>ER</t>
        </is>
      </c>
      <c r="U49" s="17" t="inlineStr">
        <is>
          <t>ET</t>
        </is>
      </c>
      <c r="V49" s="17" t="inlineStr">
        <is>
          <t>FI</t>
        </is>
      </c>
      <c r="W49" s="17" t="inlineStr">
        <is>
          <t>FJ</t>
        </is>
      </c>
      <c r="X49" s="17" t="inlineStr">
        <is>
          <t>FK</t>
        </is>
      </c>
      <c r="Y49" s="17" t="inlineStr">
        <is>
          <t>FM</t>
        </is>
      </c>
      <c r="AA49" s="17" t="inlineStr">
        <is>
          <t>BI</t>
        </is>
      </c>
      <c r="AB49" s="17">
        <f>COUNTIFS(Candidatos!B2:B1001,"?*",Candidatos!F2:F1001,AA49)</f>
        <v/>
      </c>
    </row>
    <row r="50" ht="18" customHeight="1" s="72">
      <c r="J50" s="17">
        <f>COUNTIFS(Candidatos!B2:B1001,"?*",Candidatos!F2:F1001,J49)</f>
        <v/>
      </c>
      <c r="K50" s="17">
        <f>COUNTIFS(Candidatos!B2:B1001,"?*",Candidatos!F2:F1001,K49)</f>
        <v/>
      </c>
      <c r="L50" s="17">
        <f>COUNTIFS(Candidatos!B2:B1001,"?*",Candidatos!F2:F1001,L49)</f>
        <v/>
      </c>
      <c r="M50" s="17">
        <f>COUNTIFS(Candidatos!B2:B1001,"?*",Candidatos!F2:F1001,M49)</f>
        <v/>
      </c>
      <c r="N50" s="17">
        <f>COUNTIFS(Candidatos!B2:B1001,"?*",Candidatos!F2:F1001,N49)</f>
        <v/>
      </c>
      <c r="O50" s="17">
        <f>COUNTIFS(Candidatos!B2:B1001,"?*",Candidatos!F2:F1001,O49)</f>
        <v/>
      </c>
      <c r="P50" s="17">
        <f>COUNTIFS(Candidatos!B2:B1001,"?*",Candidatos!F2:F1001,P49)</f>
        <v/>
      </c>
      <c r="Q50" s="17">
        <f>COUNTIFS(Candidatos!B2:B1001,"?*",Candidatos!F2:F1001,Q49)</f>
        <v/>
      </c>
      <c r="R50" s="17">
        <f>COUNTIFS(Candidatos!B2:B1001,"?*",Candidatos!F2:F1001,R49)</f>
        <v/>
      </c>
      <c r="S50" s="17">
        <f>COUNTIFS(Candidatos!B2:B1001,"?*",Candidatos!F2:F1001,S49)</f>
        <v/>
      </c>
      <c r="T50" s="17">
        <f>COUNTIFS(Candidatos!B2:B1001,"?*",Candidatos!F2:F1001,T49)</f>
        <v/>
      </c>
      <c r="U50" s="17">
        <f>COUNTIFS(Candidatos!B2:B1001,"?*",Candidatos!F2:F1001,U49)</f>
        <v/>
      </c>
      <c r="V50" s="17">
        <f>COUNTIFS(Candidatos!B2:B1001,"?*",Candidatos!F2:F1001,V49)</f>
        <v/>
      </c>
      <c r="W50" s="17">
        <f>COUNTIFS(Candidatos!B2:B1001,"?*",Candidatos!F2:F1001,W49)</f>
        <v/>
      </c>
      <c r="X50" s="17">
        <f>COUNTIFS(Candidatos!B2:B1001,"?*",Candidatos!F2:F1001,X49)</f>
        <v/>
      </c>
      <c r="Y50" s="17">
        <f>COUNTIFS(Candidatos!B2:B1001,"?*",Candidatos!F2:F1001,Y49)</f>
        <v/>
      </c>
      <c r="AA50" s="17" t="inlineStr">
        <is>
          <t>BJ</t>
        </is>
      </c>
      <c r="AB50" s="17">
        <f>COUNTIFS(Candidatos!B2:B1001,"?*",Candidatos!F2:F1001,AA50)</f>
        <v/>
      </c>
    </row>
    <row r="51" ht="18" customHeight="1" s="72">
      <c r="J51" s="17" t="inlineStr">
        <is>
          <t>FO</t>
        </is>
      </c>
      <c r="K51" s="17" t="inlineStr">
        <is>
          <t>FR</t>
        </is>
      </c>
      <c r="L51" s="17" t="inlineStr">
        <is>
          <t>GA</t>
        </is>
      </c>
      <c r="M51" s="17" t="inlineStr">
        <is>
          <t>GB</t>
        </is>
      </c>
      <c r="N51" s="17" t="inlineStr">
        <is>
          <t>GD</t>
        </is>
      </c>
      <c r="O51" s="17" t="inlineStr">
        <is>
          <t>GE</t>
        </is>
      </c>
      <c r="P51" s="17" t="inlineStr">
        <is>
          <t>GF</t>
        </is>
      </c>
      <c r="Q51" s="17" t="inlineStr">
        <is>
          <t>GG</t>
        </is>
      </c>
      <c r="R51" s="17" t="inlineStr">
        <is>
          <t>GH</t>
        </is>
      </c>
      <c r="S51" s="17" t="inlineStr">
        <is>
          <t>GI</t>
        </is>
      </c>
      <c r="T51" s="17" t="inlineStr">
        <is>
          <t>GL</t>
        </is>
      </c>
      <c r="U51" s="17" t="inlineStr">
        <is>
          <t>GM</t>
        </is>
      </c>
      <c r="V51" s="17" t="inlineStr">
        <is>
          <t>GN</t>
        </is>
      </c>
      <c r="W51" s="17" t="inlineStr">
        <is>
          <t>GP</t>
        </is>
      </c>
      <c r="X51" s="17" t="inlineStr">
        <is>
          <t>GQ</t>
        </is>
      </c>
      <c r="Y51" s="17" t="inlineStr">
        <is>
          <t>GR</t>
        </is>
      </c>
      <c r="AA51" s="17" t="inlineStr">
        <is>
          <t>BL</t>
        </is>
      </c>
      <c r="AB51" s="17">
        <f>COUNTIFS(Candidatos!B2:B1001,"?*",Candidatos!F2:F1001,AA51)</f>
        <v/>
      </c>
    </row>
    <row r="52" ht="18" customHeight="1" s="72">
      <c r="J52" s="17">
        <f>COUNTIFS(Candidatos!B2:B1001,"?*",Candidatos!F2:F1001,J51)</f>
        <v/>
      </c>
      <c r="K52" s="17">
        <f>COUNTIFS(Candidatos!B2:B1001,"?*",Candidatos!F2:F1001,K51)</f>
        <v/>
      </c>
      <c r="L52" s="17">
        <f>COUNTIFS(Candidatos!B2:B1001,"?*",Candidatos!F2:F1001,L51)</f>
        <v/>
      </c>
      <c r="M52" s="17">
        <f>COUNTIFS(Candidatos!B2:B1001,"?*",Candidatos!F2:F1001,M51)</f>
        <v/>
      </c>
      <c r="N52" s="17">
        <f>COUNTIFS(Candidatos!B2:B1001,"?*",Candidatos!F2:F1001,N51)</f>
        <v/>
      </c>
      <c r="O52" s="17">
        <f>COUNTIFS(Candidatos!B2:B1001,"?*",Candidatos!F2:F1001,O51)</f>
        <v/>
      </c>
      <c r="P52" s="17">
        <f>COUNTIFS(Candidatos!B2:B1001,"?*",Candidatos!F2:F1001,P51)</f>
        <v/>
      </c>
      <c r="Q52" s="17">
        <f>COUNTIFS(Candidatos!B2:B1001,"?*",Candidatos!F2:F1001,Q51)</f>
        <v/>
      </c>
      <c r="R52" s="17">
        <f>COUNTIFS(Candidatos!B2:B1001,"?*",Candidatos!F2:F1001,R51)</f>
        <v/>
      </c>
      <c r="S52" s="17">
        <f>COUNTIFS(Candidatos!B2:B1001,"?*",Candidatos!F2:F1001,S51)</f>
        <v/>
      </c>
      <c r="T52" s="17">
        <f>COUNTIFS(Candidatos!B2:B1001,"?*",Candidatos!F2:F1001,T51)</f>
        <v/>
      </c>
      <c r="U52" s="17">
        <f>COUNTIFS(Candidatos!B2:B1001,"?*",Candidatos!F2:F1001,U51)</f>
        <v/>
      </c>
      <c r="V52" s="17">
        <f>COUNTIFS(Candidatos!B2:B1001,"?*",Candidatos!F2:F1001,V51)</f>
        <v/>
      </c>
      <c r="W52" s="17">
        <f>COUNTIFS(Candidatos!B2:B1001,"?*",Candidatos!F2:F1001,W51)</f>
        <v/>
      </c>
      <c r="X52" s="17">
        <f>COUNTIFS(Candidatos!B2:B1001,"?*",Candidatos!F2:F1001,X51)</f>
        <v/>
      </c>
      <c r="Y52" s="17">
        <f>COUNTIFS(Candidatos!B2:B1001,"?*",Candidatos!F2:F1001,Y51)</f>
        <v/>
      </c>
      <c r="AA52" s="17" t="inlineStr">
        <is>
          <t>BM</t>
        </is>
      </c>
      <c r="AB52" s="17">
        <f>COUNTIFS(Candidatos!B2:B1001,"?*",Candidatos!F2:F1001,AA52)</f>
        <v/>
      </c>
    </row>
    <row r="53" ht="18" customHeight="1" s="72">
      <c r="J53" s="17" t="inlineStr">
        <is>
          <t>GS</t>
        </is>
      </c>
      <c r="K53" s="17" t="inlineStr">
        <is>
          <t>GT</t>
        </is>
      </c>
      <c r="L53" s="17" t="inlineStr">
        <is>
          <t>GU</t>
        </is>
      </c>
      <c r="M53" s="17" t="inlineStr">
        <is>
          <t>GW</t>
        </is>
      </c>
      <c r="N53" s="17" t="inlineStr">
        <is>
          <t>GY</t>
        </is>
      </c>
      <c r="O53" s="17" t="inlineStr">
        <is>
          <t>HK</t>
        </is>
      </c>
      <c r="P53" s="17" t="inlineStr">
        <is>
          <t>HM</t>
        </is>
      </c>
      <c r="Q53" s="17" t="inlineStr">
        <is>
          <t>HN</t>
        </is>
      </c>
      <c r="R53" s="17" t="inlineStr">
        <is>
          <t>HR</t>
        </is>
      </c>
      <c r="S53" s="17" t="inlineStr">
        <is>
          <t>HT</t>
        </is>
      </c>
      <c r="T53" s="17" t="inlineStr">
        <is>
          <t>HU</t>
        </is>
      </c>
      <c r="U53" s="17" t="inlineStr">
        <is>
          <t>ID</t>
        </is>
      </c>
      <c r="V53" s="17" t="inlineStr">
        <is>
          <t>IE</t>
        </is>
      </c>
      <c r="W53" s="17" t="inlineStr">
        <is>
          <t>IL</t>
        </is>
      </c>
      <c r="X53" s="17" t="inlineStr">
        <is>
          <t>IM</t>
        </is>
      </c>
      <c r="Y53" s="17" t="inlineStr">
        <is>
          <t>IN</t>
        </is>
      </c>
      <c r="AA53" s="17" t="inlineStr">
        <is>
          <t>BN</t>
        </is>
      </c>
      <c r="AB53" s="17">
        <f>COUNTIFS(Candidatos!B2:B1001,"?*",Candidatos!F2:F1001,AA53)</f>
        <v/>
      </c>
    </row>
    <row r="54" ht="18" customHeight="1" s="72">
      <c r="J54" s="17">
        <f>COUNTIFS(Candidatos!B2:B1001,"?*",Candidatos!F2:F1001,J53)</f>
        <v/>
      </c>
      <c r="K54" s="17">
        <f>COUNTIFS(Candidatos!B2:B1001,"?*",Candidatos!F2:F1001,K53)</f>
        <v/>
      </c>
      <c r="L54" s="17">
        <f>COUNTIFS(Candidatos!B2:B1001,"?*",Candidatos!F2:F1001,L53)</f>
        <v/>
      </c>
      <c r="M54" s="17">
        <f>COUNTIFS(Candidatos!B2:B1001,"?*",Candidatos!F2:F1001,M53)</f>
        <v/>
      </c>
      <c r="N54" s="17">
        <f>COUNTIFS(Candidatos!B2:B1001,"?*",Candidatos!F2:F1001,N53)</f>
        <v/>
      </c>
      <c r="O54" s="17">
        <f>COUNTIFS(Candidatos!B2:B1001,"?*",Candidatos!F2:F1001,O53)</f>
        <v/>
      </c>
      <c r="P54" s="17">
        <f>COUNTIFS(Candidatos!B2:B1001,"?*",Candidatos!F2:F1001,P53)</f>
        <v/>
      </c>
      <c r="Q54" s="17">
        <f>COUNTIFS(Candidatos!B2:B1001,"?*",Candidatos!F2:F1001,Q53)</f>
        <v/>
      </c>
      <c r="R54" s="17">
        <f>COUNTIFS(Candidatos!B2:B1001,"?*",Candidatos!F2:F1001,R53)</f>
        <v/>
      </c>
      <c r="S54" s="17">
        <f>COUNTIFS(Candidatos!B2:B1001,"?*",Candidatos!F2:F1001,S53)</f>
        <v/>
      </c>
      <c r="T54" s="17">
        <f>COUNTIFS(Candidatos!B2:B1001,"?*",Candidatos!F2:F1001,T53)</f>
        <v/>
      </c>
      <c r="U54" s="17">
        <f>COUNTIFS(Candidatos!B2:B1001,"?*",Candidatos!F2:F1001,U53)</f>
        <v/>
      </c>
      <c r="V54" s="17">
        <f>COUNTIFS(Candidatos!B2:B1001,"?*",Candidatos!F2:F1001,V53)</f>
        <v/>
      </c>
      <c r="W54" s="17">
        <f>COUNTIFS(Candidatos!B2:B1001,"?*",Candidatos!F2:F1001,W53)</f>
        <v/>
      </c>
      <c r="X54" s="17">
        <f>COUNTIFS(Candidatos!B2:B1001,"?*",Candidatos!F2:F1001,X53)</f>
        <v/>
      </c>
      <c r="Y54" s="17">
        <f>COUNTIFS(Candidatos!B2:B1001,"?*",Candidatos!F2:F1001,Y53)</f>
        <v/>
      </c>
      <c r="AA54" s="17" t="inlineStr">
        <is>
          <t>BO</t>
        </is>
      </c>
      <c r="AB54" s="17">
        <f>COUNTIFS(Candidatos!B2:B1001,"?*",Candidatos!F2:F1001,AA54)</f>
        <v/>
      </c>
    </row>
    <row r="55" ht="18" customHeight="1" s="72">
      <c r="J55" s="17" t="inlineStr">
        <is>
          <t>IO</t>
        </is>
      </c>
      <c r="K55" s="17" t="inlineStr">
        <is>
          <t>IQ</t>
        </is>
      </c>
      <c r="L55" s="17" t="inlineStr">
        <is>
          <t>IR</t>
        </is>
      </c>
      <c r="M55" s="17" t="inlineStr">
        <is>
          <t>IS</t>
        </is>
      </c>
      <c r="N55" s="17" t="inlineStr">
        <is>
          <t>IT</t>
        </is>
      </c>
      <c r="O55" s="17" t="inlineStr">
        <is>
          <t>JE</t>
        </is>
      </c>
      <c r="P55" s="17" t="inlineStr">
        <is>
          <t>JM</t>
        </is>
      </c>
      <c r="Q55" s="17" t="inlineStr">
        <is>
          <t>JO</t>
        </is>
      </c>
      <c r="R55" s="17" t="inlineStr">
        <is>
          <t>JP</t>
        </is>
      </c>
      <c r="S55" s="17" t="inlineStr">
        <is>
          <t>KE</t>
        </is>
      </c>
      <c r="T55" s="17" t="inlineStr">
        <is>
          <t>KG</t>
        </is>
      </c>
      <c r="U55" s="17" t="inlineStr">
        <is>
          <t>KH</t>
        </is>
      </c>
      <c r="V55" s="17" t="inlineStr">
        <is>
          <t>KI</t>
        </is>
      </c>
      <c r="W55" s="17" t="inlineStr">
        <is>
          <t>KM</t>
        </is>
      </c>
      <c r="X55" s="17" t="inlineStr">
        <is>
          <t>KN</t>
        </is>
      </c>
      <c r="Y55" s="17" t="inlineStr">
        <is>
          <t>KP</t>
        </is>
      </c>
      <c r="AA55" s="17" t="inlineStr">
        <is>
          <t>BQ</t>
        </is>
      </c>
      <c r="AB55" s="17">
        <f>COUNTIFS(Candidatos!B2:B1001,"?*",Candidatos!F2:F1001,AA55)</f>
        <v/>
      </c>
    </row>
    <row r="56" ht="18" customHeight="1" s="72">
      <c r="J56" s="17">
        <f>COUNTIFS(Candidatos!B2:B1001,"?*",Candidatos!F2:F1001,J55)</f>
        <v/>
      </c>
      <c r="K56" s="17">
        <f>COUNTIFS(Candidatos!B2:B1001,"?*",Candidatos!F2:F1001,K55)</f>
        <v/>
      </c>
      <c r="L56" s="17">
        <f>COUNTIFS(Candidatos!B2:B1001,"?*",Candidatos!F2:F1001,L55)</f>
        <v/>
      </c>
      <c r="M56" s="17">
        <f>COUNTIFS(Candidatos!B2:B1001,"?*",Candidatos!F2:F1001,M55)</f>
        <v/>
      </c>
      <c r="N56" s="17">
        <f>COUNTIFS(Candidatos!B2:B1001,"?*",Candidatos!F2:F1001,N55)</f>
        <v/>
      </c>
      <c r="O56" s="17">
        <f>COUNTIFS(Candidatos!B2:B1001,"?*",Candidatos!F2:F1001,O55)</f>
        <v/>
      </c>
      <c r="P56" s="17">
        <f>COUNTIFS(Candidatos!B2:B1001,"?*",Candidatos!F2:F1001,P55)</f>
        <v/>
      </c>
      <c r="Q56" s="17">
        <f>COUNTIFS(Candidatos!B2:B1001,"?*",Candidatos!F2:F1001,Q55)</f>
        <v/>
      </c>
      <c r="R56" s="17">
        <f>COUNTIFS(Candidatos!B2:B1001,"?*",Candidatos!F2:F1001,R55)</f>
        <v/>
      </c>
      <c r="S56" s="17">
        <f>COUNTIFS(Candidatos!B2:B1001,"?*",Candidatos!F2:F1001,S55)</f>
        <v/>
      </c>
      <c r="T56" s="17">
        <f>COUNTIFS(Candidatos!B2:B1001,"?*",Candidatos!F2:F1001,T55)</f>
        <v/>
      </c>
      <c r="U56" s="17">
        <f>COUNTIFS(Candidatos!B2:B1001,"?*",Candidatos!F2:F1001,U55)</f>
        <v/>
      </c>
      <c r="V56" s="17">
        <f>COUNTIFS(Candidatos!B2:B1001,"?*",Candidatos!F2:F1001,V55)</f>
        <v/>
      </c>
      <c r="W56" s="17">
        <f>COUNTIFS(Candidatos!B2:B1001,"?*",Candidatos!F2:F1001,W55)</f>
        <v/>
      </c>
      <c r="X56" s="17">
        <f>COUNTIFS(Candidatos!B2:B1001,"?*",Candidatos!F2:F1001,X55)</f>
        <v/>
      </c>
      <c r="Y56" s="17">
        <f>COUNTIFS(Candidatos!B2:B1001,"?*",Candidatos!F2:F1001,Y55)</f>
        <v/>
      </c>
      <c r="AA56" s="17" t="inlineStr">
        <is>
          <t>BR</t>
        </is>
      </c>
      <c r="AB56" s="17">
        <f>COUNTIFS(Candidatos!B2:B1001,"?*",Candidatos!F2:F1001,AA56)</f>
        <v/>
      </c>
    </row>
    <row r="57" ht="18" customHeight="1" s="72">
      <c r="J57" s="17" t="inlineStr">
        <is>
          <t>KR</t>
        </is>
      </c>
      <c r="K57" s="17" t="inlineStr">
        <is>
          <t>KW</t>
        </is>
      </c>
      <c r="L57" s="17" t="inlineStr">
        <is>
          <t>KY</t>
        </is>
      </c>
      <c r="M57" s="17" t="inlineStr">
        <is>
          <t>KZ</t>
        </is>
      </c>
      <c r="N57" s="17" t="inlineStr">
        <is>
          <t>LA</t>
        </is>
      </c>
      <c r="O57" s="17" t="inlineStr">
        <is>
          <t>LB</t>
        </is>
      </c>
      <c r="P57" s="17" t="inlineStr">
        <is>
          <t>LC</t>
        </is>
      </c>
      <c r="Q57" s="17" t="inlineStr">
        <is>
          <t>LI</t>
        </is>
      </c>
      <c r="R57" s="17" t="inlineStr">
        <is>
          <t>LK</t>
        </is>
      </c>
      <c r="S57" s="17" t="inlineStr">
        <is>
          <t>LR</t>
        </is>
      </c>
      <c r="T57" s="17" t="inlineStr">
        <is>
          <t>LS</t>
        </is>
      </c>
      <c r="U57" s="17" t="inlineStr">
        <is>
          <t>LT</t>
        </is>
      </c>
      <c r="V57" s="17" t="inlineStr">
        <is>
          <t>LU</t>
        </is>
      </c>
      <c r="W57" s="17" t="inlineStr">
        <is>
          <t>LV</t>
        </is>
      </c>
      <c r="X57" s="17" t="inlineStr">
        <is>
          <t>LY</t>
        </is>
      </c>
      <c r="Y57" s="17" t="inlineStr">
        <is>
          <t>MC</t>
        </is>
      </c>
      <c r="AA57" s="17" t="inlineStr">
        <is>
          <t>BS</t>
        </is>
      </c>
      <c r="AB57" s="17">
        <f>COUNTIFS(Candidatos!B2:B1001,"?*",Candidatos!F2:F1001,AA57)</f>
        <v/>
      </c>
    </row>
    <row r="58" ht="18" customHeight="1" s="72">
      <c r="J58" s="17">
        <f>COUNTIFS(Candidatos!B2:B1001,"?*",Candidatos!F2:F1001,J57)</f>
        <v/>
      </c>
      <c r="K58" s="17">
        <f>COUNTIFS(Candidatos!B2:B1001,"?*",Candidatos!F2:F1001,K57)</f>
        <v/>
      </c>
      <c r="L58" s="17">
        <f>COUNTIFS(Candidatos!B2:B1001,"?*",Candidatos!F2:F1001,L57)</f>
        <v/>
      </c>
      <c r="M58" s="17">
        <f>COUNTIFS(Candidatos!B2:B1001,"?*",Candidatos!F2:F1001,M57)</f>
        <v/>
      </c>
      <c r="N58" s="17">
        <f>COUNTIFS(Candidatos!B2:B1001,"?*",Candidatos!F2:F1001,N57)</f>
        <v/>
      </c>
      <c r="O58" s="17">
        <f>COUNTIFS(Candidatos!B2:B1001,"?*",Candidatos!F2:F1001,O57)</f>
        <v/>
      </c>
      <c r="P58" s="17">
        <f>COUNTIFS(Candidatos!B2:B1001,"?*",Candidatos!F2:F1001,P57)</f>
        <v/>
      </c>
      <c r="Q58" s="17">
        <f>COUNTIFS(Candidatos!B2:B1001,"?*",Candidatos!F2:F1001,Q57)</f>
        <v/>
      </c>
      <c r="R58" s="17">
        <f>COUNTIFS(Candidatos!B2:B1001,"?*",Candidatos!F2:F1001,R57)</f>
        <v/>
      </c>
      <c r="S58" s="17">
        <f>COUNTIFS(Candidatos!B2:B1001,"?*",Candidatos!F2:F1001,S57)</f>
        <v/>
      </c>
      <c r="T58" s="17">
        <f>COUNTIFS(Candidatos!B2:B1001,"?*",Candidatos!F2:F1001,T57)</f>
        <v/>
      </c>
      <c r="U58" s="17">
        <f>COUNTIFS(Candidatos!B2:B1001,"?*",Candidatos!F2:F1001,U57)</f>
        <v/>
      </c>
      <c r="V58" s="17">
        <f>COUNTIFS(Candidatos!B2:B1001,"?*",Candidatos!F2:F1001,V57)</f>
        <v/>
      </c>
      <c r="W58" s="17">
        <f>COUNTIFS(Candidatos!B2:B1001,"?*",Candidatos!F2:F1001,W57)</f>
        <v/>
      </c>
      <c r="X58" s="17">
        <f>COUNTIFS(Candidatos!B2:B1001,"?*",Candidatos!F2:F1001,X57)</f>
        <v/>
      </c>
      <c r="Y58" s="17">
        <f>COUNTIFS(Candidatos!B2:B1001,"?*",Candidatos!F2:F1001,Y57)</f>
        <v/>
      </c>
      <c r="AA58" s="17" t="inlineStr">
        <is>
          <t>BT</t>
        </is>
      </c>
      <c r="AB58" s="17">
        <f>COUNTIFS(Candidatos!B2:B1001,"?*",Candidatos!F2:F1001,AA58)</f>
        <v/>
      </c>
    </row>
    <row r="59" ht="18" customHeight="1" s="72">
      <c r="J59" s="17" t="inlineStr">
        <is>
          <t>MD</t>
        </is>
      </c>
      <c r="K59" s="17" t="inlineStr">
        <is>
          <t>ME</t>
        </is>
      </c>
      <c r="L59" s="17" t="inlineStr">
        <is>
          <t>MF</t>
        </is>
      </c>
      <c r="M59" s="17" t="inlineStr">
        <is>
          <t>MH</t>
        </is>
      </c>
      <c r="N59" s="17" t="inlineStr">
        <is>
          <t>MK</t>
        </is>
      </c>
      <c r="O59" s="17" t="inlineStr">
        <is>
          <t>ML</t>
        </is>
      </c>
      <c r="P59" s="17" t="inlineStr">
        <is>
          <t>MM</t>
        </is>
      </c>
      <c r="Q59" s="17" t="inlineStr">
        <is>
          <t>MN</t>
        </is>
      </c>
      <c r="R59" s="17" t="inlineStr">
        <is>
          <t>MO</t>
        </is>
      </c>
      <c r="S59" s="17" t="inlineStr">
        <is>
          <t>MP</t>
        </is>
      </c>
      <c r="T59" s="17" t="inlineStr">
        <is>
          <t>MQ</t>
        </is>
      </c>
      <c r="U59" s="17" t="inlineStr">
        <is>
          <t>MR</t>
        </is>
      </c>
      <c r="V59" s="17" t="inlineStr">
        <is>
          <t>MU</t>
        </is>
      </c>
      <c r="W59" s="17" t="inlineStr">
        <is>
          <t>MV</t>
        </is>
      </c>
      <c r="X59" s="17" t="inlineStr">
        <is>
          <t>MW</t>
        </is>
      </c>
      <c r="Y59" s="17" t="inlineStr">
        <is>
          <t>MX</t>
        </is>
      </c>
      <c r="AA59" s="17" t="inlineStr">
        <is>
          <t>BV</t>
        </is>
      </c>
      <c r="AB59" s="17">
        <f>COUNTIFS(Candidatos!B2:B1001,"?*",Candidatos!F2:F1001,AA59)</f>
        <v/>
      </c>
    </row>
    <row r="60" ht="18" customHeight="1" s="72">
      <c r="J60" s="17">
        <f>COUNTIFS(Candidatos!B2:B1001,"?*",Candidatos!F2:F1001,J59)</f>
        <v/>
      </c>
      <c r="K60" s="17">
        <f>COUNTIFS(Candidatos!B2:B1001,"?*",Candidatos!F2:F1001,K59)</f>
        <v/>
      </c>
      <c r="L60" s="17">
        <f>COUNTIFS(Candidatos!B2:B1001,"?*",Candidatos!F2:F1001,L59)</f>
        <v/>
      </c>
      <c r="M60" s="17">
        <f>COUNTIFS(Candidatos!B2:B1001,"?*",Candidatos!F2:F1001,M59)</f>
        <v/>
      </c>
      <c r="N60" s="17">
        <f>COUNTIFS(Candidatos!B2:B1001,"?*",Candidatos!F2:F1001,N59)</f>
        <v/>
      </c>
      <c r="O60" s="17">
        <f>COUNTIFS(Candidatos!B2:B1001,"?*",Candidatos!F2:F1001,O59)</f>
        <v/>
      </c>
      <c r="P60" s="17">
        <f>COUNTIFS(Candidatos!B2:B1001,"?*",Candidatos!F2:F1001,P59)</f>
        <v/>
      </c>
      <c r="Q60" s="17">
        <f>COUNTIFS(Candidatos!B2:B1001,"?*",Candidatos!F2:F1001,Q59)</f>
        <v/>
      </c>
      <c r="R60" s="17">
        <f>COUNTIFS(Candidatos!B2:B1001,"?*",Candidatos!F2:F1001,R59)</f>
        <v/>
      </c>
      <c r="S60" s="17">
        <f>COUNTIFS(Candidatos!B2:B1001,"?*",Candidatos!F2:F1001,S59)</f>
        <v/>
      </c>
      <c r="T60" s="17">
        <f>COUNTIFS(Candidatos!B2:B1001,"?*",Candidatos!F2:F1001,T59)</f>
        <v/>
      </c>
      <c r="U60" s="17">
        <f>COUNTIFS(Candidatos!B2:B1001,"?*",Candidatos!F2:F1001,U59)</f>
        <v/>
      </c>
      <c r="V60" s="17">
        <f>COUNTIFS(Candidatos!B2:B1001,"?*",Candidatos!F2:F1001,V59)</f>
        <v/>
      </c>
      <c r="W60" s="17">
        <f>COUNTIFS(Candidatos!B2:B1001,"?*",Candidatos!F2:F1001,W59)</f>
        <v/>
      </c>
      <c r="X60" s="17">
        <f>COUNTIFS(Candidatos!B2:B1001,"?*",Candidatos!F2:F1001,X59)</f>
        <v/>
      </c>
      <c r="Y60" s="17">
        <f>COUNTIFS(Candidatos!B2:B1001,"?*",Candidatos!F2:F1001,Y59)</f>
        <v/>
      </c>
      <c r="AA60" s="17" t="inlineStr">
        <is>
          <t>BW</t>
        </is>
      </c>
      <c r="AB60" s="17">
        <f>COUNTIFS(Candidatos!B2:B1001,"?*",Candidatos!F2:F1001,AA60)</f>
        <v/>
      </c>
    </row>
    <row r="61" ht="18" customHeight="1" s="72">
      <c r="J61" s="17" t="inlineStr">
        <is>
          <t>MY</t>
        </is>
      </c>
      <c r="K61" s="17" t="inlineStr">
        <is>
          <t>MZ</t>
        </is>
      </c>
      <c r="L61" s="17" t="inlineStr">
        <is>
          <t>NA</t>
        </is>
      </c>
      <c r="M61" s="17" t="inlineStr">
        <is>
          <t>NC</t>
        </is>
      </c>
      <c r="N61" s="17" t="inlineStr">
        <is>
          <t>NE</t>
        </is>
      </c>
      <c r="O61" s="17" t="inlineStr">
        <is>
          <t>NF</t>
        </is>
      </c>
      <c r="P61" s="17" t="inlineStr">
        <is>
          <t>NG</t>
        </is>
      </c>
      <c r="Q61" s="17" t="inlineStr">
        <is>
          <t>NI</t>
        </is>
      </c>
      <c r="R61" s="17" t="inlineStr">
        <is>
          <t>NL</t>
        </is>
      </c>
      <c r="S61" s="17" t="inlineStr">
        <is>
          <t>NO</t>
        </is>
      </c>
      <c r="T61" s="17" t="inlineStr">
        <is>
          <t>NP</t>
        </is>
      </c>
      <c r="U61" s="17" t="inlineStr">
        <is>
          <t>NR</t>
        </is>
      </c>
      <c r="V61" s="17" t="inlineStr">
        <is>
          <t>NU</t>
        </is>
      </c>
      <c r="W61" s="17" t="inlineStr">
        <is>
          <t>NZ</t>
        </is>
      </c>
      <c r="X61" s="17" t="inlineStr">
        <is>
          <t>OM</t>
        </is>
      </c>
      <c r="Y61" s="17" t="inlineStr">
        <is>
          <t>PF</t>
        </is>
      </c>
      <c r="AA61" s="17" t="inlineStr">
        <is>
          <t>BY</t>
        </is>
      </c>
      <c r="AB61" s="17">
        <f>COUNTIFS(Candidatos!B2:B1001,"?*",Candidatos!F2:F1001,AA61)</f>
        <v/>
      </c>
    </row>
    <row r="62" ht="18" customHeight="1" s="72">
      <c r="J62" s="17">
        <f>COUNTIFS(Candidatos!B2:B1001,"?*",Candidatos!F2:F1001,J61)</f>
        <v/>
      </c>
      <c r="K62" s="17">
        <f>COUNTIFS(Candidatos!B2:B1001,"?*",Candidatos!F2:F1001,K61)</f>
        <v/>
      </c>
      <c r="L62" s="17">
        <f>COUNTIFS(Candidatos!B2:B1001,"?*",Candidatos!F2:F1001,L61)</f>
        <v/>
      </c>
      <c r="M62" s="17">
        <f>COUNTIFS(Candidatos!B2:B1001,"?*",Candidatos!F2:F1001,M61)</f>
        <v/>
      </c>
      <c r="N62" s="17">
        <f>COUNTIFS(Candidatos!B2:B1001,"?*",Candidatos!F2:F1001,N61)</f>
        <v/>
      </c>
      <c r="O62" s="17">
        <f>COUNTIFS(Candidatos!B2:B1001,"?*",Candidatos!F2:F1001,O61)</f>
        <v/>
      </c>
      <c r="P62" s="17">
        <f>COUNTIFS(Candidatos!B2:B1001,"?*",Candidatos!F2:F1001,P61)</f>
        <v/>
      </c>
      <c r="Q62" s="17">
        <f>COUNTIFS(Candidatos!B2:B1001,"?*",Candidatos!F2:F1001,Q61)</f>
        <v/>
      </c>
      <c r="R62" s="17">
        <f>COUNTIFS(Candidatos!B2:B1001,"?*",Candidatos!F2:F1001,R61)</f>
        <v/>
      </c>
      <c r="S62" s="17">
        <f>COUNTIFS(Candidatos!B2:B1001,"?*",Candidatos!F2:F1001,S61)</f>
        <v/>
      </c>
      <c r="T62" s="17">
        <f>COUNTIFS(Candidatos!B2:B1001,"?*",Candidatos!F2:F1001,T61)</f>
        <v/>
      </c>
      <c r="U62" s="17">
        <f>COUNTIFS(Candidatos!B2:B1001,"?*",Candidatos!F2:F1001,U61)</f>
        <v/>
      </c>
      <c r="V62" s="17">
        <f>COUNTIFS(Candidatos!B2:B1001,"?*",Candidatos!F2:F1001,V61)</f>
        <v/>
      </c>
      <c r="W62" s="17">
        <f>COUNTIFS(Candidatos!B2:B1001,"?*",Candidatos!F2:F1001,W61)</f>
        <v/>
      </c>
      <c r="X62" s="17">
        <f>COUNTIFS(Candidatos!B2:B1001,"?*",Candidatos!F2:F1001,X61)</f>
        <v/>
      </c>
      <c r="Y62" s="17">
        <f>COUNTIFS(Candidatos!B2:B1001,"?*",Candidatos!F2:F1001,Y61)</f>
        <v/>
      </c>
      <c r="AA62" s="17" t="inlineStr">
        <is>
          <t>BZ</t>
        </is>
      </c>
      <c r="AB62" s="17">
        <f>COUNTIFS(Candidatos!B2:B1001,"?*",Candidatos!F2:F1001,AA62)</f>
        <v/>
      </c>
    </row>
    <row r="63" ht="18" customHeight="1" s="72">
      <c r="J63" s="17" t="inlineStr">
        <is>
          <t>PG</t>
        </is>
      </c>
      <c r="K63" s="17" t="inlineStr">
        <is>
          <t>PH</t>
        </is>
      </c>
      <c r="L63" s="17" t="inlineStr">
        <is>
          <t>PK</t>
        </is>
      </c>
      <c r="M63" s="17" t="inlineStr">
        <is>
          <t>PL</t>
        </is>
      </c>
      <c r="N63" s="17" t="inlineStr">
        <is>
          <t>PM</t>
        </is>
      </c>
      <c r="O63" s="17" t="inlineStr">
        <is>
          <t>PN</t>
        </is>
      </c>
      <c r="P63" s="17" t="inlineStr">
        <is>
          <t>PS</t>
        </is>
      </c>
      <c r="Q63" s="17" t="inlineStr">
        <is>
          <t>PT</t>
        </is>
      </c>
      <c r="R63" s="17" t="inlineStr">
        <is>
          <t>PW</t>
        </is>
      </c>
      <c r="S63" s="17" t="inlineStr">
        <is>
          <t>PY</t>
        </is>
      </c>
      <c r="T63" s="17" t="inlineStr">
        <is>
          <t>QA</t>
        </is>
      </c>
      <c r="U63" s="17" t="inlineStr">
        <is>
          <t>RE</t>
        </is>
      </c>
      <c r="V63" s="17" t="inlineStr">
        <is>
          <t>RU</t>
        </is>
      </c>
      <c r="W63" s="17" t="inlineStr">
        <is>
          <t>RW</t>
        </is>
      </c>
      <c r="X63" s="17" t="inlineStr">
        <is>
          <t>SA</t>
        </is>
      </c>
      <c r="Y63" s="17" t="inlineStr">
        <is>
          <t>SB</t>
        </is>
      </c>
      <c r="AA63" s="17" t="inlineStr">
        <is>
          <t>CA</t>
        </is>
      </c>
      <c r="AB63" s="17">
        <f>COUNTIFS(Candidatos!B2:B1001,"?*",Candidatos!F2:F1001,AA63)</f>
        <v/>
      </c>
    </row>
    <row r="64" ht="18" customHeight="1" s="72">
      <c r="J64" s="17">
        <f>COUNTIFS(Candidatos!B2:B1001,"?*",Candidatos!F2:F1001,J63)</f>
        <v/>
      </c>
      <c r="K64" s="17">
        <f>COUNTIFS(Candidatos!B2:B1001,"?*",Candidatos!F2:F1001,K63)</f>
        <v/>
      </c>
      <c r="L64" s="17">
        <f>COUNTIFS(Candidatos!B2:B1001,"?*",Candidatos!F2:F1001,L63)</f>
        <v/>
      </c>
      <c r="M64" s="17">
        <f>COUNTIFS(Candidatos!B2:B1001,"?*",Candidatos!F2:F1001,M63)</f>
        <v/>
      </c>
      <c r="N64" s="17">
        <f>COUNTIFS(Candidatos!B2:B1001,"?*",Candidatos!F2:F1001,N63)</f>
        <v/>
      </c>
      <c r="O64" s="17">
        <f>COUNTIFS(Candidatos!B2:B1001,"?*",Candidatos!F2:F1001,O63)</f>
        <v/>
      </c>
      <c r="P64" s="17">
        <f>COUNTIFS(Candidatos!B2:B1001,"?*",Candidatos!F2:F1001,P63)</f>
        <v/>
      </c>
      <c r="Q64" s="17">
        <f>COUNTIFS(Candidatos!B2:B1001,"?*",Candidatos!F2:F1001,Q63)</f>
        <v/>
      </c>
      <c r="R64" s="17">
        <f>COUNTIFS(Candidatos!B2:B1001,"?*",Candidatos!F2:F1001,R63)</f>
        <v/>
      </c>
      <c r="S64" s="17">
        <f>COUNTIFS(Candidatos!B2:B1001,"?*",Candidatos!F2:F1001,S63)</f>
        <v/>
      </c>
      <c r="T64" s="17">
        <f>COUNTIFS(Candidatos!B2:B1001,"?*",Candidatos!F2:F1001,T63)</f>
        <v/>
      </c>
      <c r="U64" s="17">
        <f>COUNTIFS(Candidatos!B2:B1001,"?*",Candidatos!F2:F1001,U63)</f>
        <v/>
      </c>
      <c r="V64" s="17">
        <f>COUNTIFS(Candidatos!B2:B1001,"?*",Candidatos!F2:F1001,V63)</f>
        <v/>
      </c>
      <c r="W64" s="17">
        <f>COUNTIFS(Candidatos!B2:B1001,"?*",Candidatos!F2:F1001,W63)</f>
        <v/>
      </c>
      <c r="X64" s="17">
        <f>COUNTIFS(Candidatos!B2:B1001,"?*",Candidatos!F2:F1001,X63)</f>
        <v/>
      </c>
      <c r="Y64" s="17">
        <f>COUNTIFS(Candidatos!B2:B1001,"?*",Candidatos!F2:F1001,Y63)</f>
        <v/>
      </c>
      <c r="AA64" s="17" t="inlineStr">
        <is>
          <t>CC</t>
        </is>
      </c>
      <c r="AB64" s="17">
        <f>COUNTIFS(Candidatos!B2:B1001,"?*",Candidatos!F2:F1001,AA64)</f>
        <v/>
      </c>
    </row>
    <row r="65" ht="18" customHeight="1" s="72">
      <c r="J65" s="17" t="inlineStr">
        <is>
          <t>SD</t>
        </is>
      </c>
      <c r="K65" s="17" t="inlineStr">
        <is>
          <t>SG</t>
        </is>
      </c>
      <c r="L65" s="17" t="inlineStr">
        <is>
          <t>SH</t>
        </is>
      </c>
      <c r="M65" s="17" t="inlineStr">
        <is>
          <t>SI</t>
        </is>
      </c>
      <c r="N65" s="17" t="inlineStr">
        <is>
          <t>SJ</t>
        </is>
      </c>
      <c r="O65" s="17" t="inlineStr">
        <is>
          <t>SK</t>
        </is>
      </c>
      <c r="P65" s="17" t="inlineStr">
        <is>
          <t>SL</t>
        </is>
      </c>
      <c r="Q65" s="17" t="inlineStr">
        <is>
          <t>SM</t>
        </is>
      </c>
      <c r="R65" s="17" t="inlineStr">
        <is>
          <t>SN</t>
        </is>
      </c>
      <c r="S65" s="17" t="inlineStr">
        <is>
          <t>SO</t>
        </is>
      </c>
      <c r="T65" s="17" t="inlineStr">
        <is>
          <t>SR</t>
        </is>
      </c>
      <c r="U65" s="17" t="inlineStr">
        <is>
          <t>SS</t>
        </is>
      </c>
      <c r="V65" s="17" t="inlineStr">
        <is>
          <t>ST</t>
        </is>
      </c>
      <c r="W65" s="17" t="inlineStr">
        <is>
          <t>SV</t>
        </is>
      </c>
      <c r="X65" s="17" t="inlineStr">
        <is>
          <t>SX</t>
        </is>
      </c>
      <c r="Y65" s="17" t="inlineStr">
        <is>
          <t>SY</t>
        </is>
      </c>
      <c r="AA65" s="17" t="inlineStr">
        <is>
          <t>CD</t>
        </is>
      </c>
      <c r="AB65" s="17">
        <f>COUNTIFS(Candidatos!B2:B1001,"?*",Candidatos!F2:F1001,AA65)</f>
        <v/>
      </c>
    </row>
    <row r="66" ht="18" customHeight="1" s="72">
      <c r="J66" s="17">
        <f>COUNTIFS(Candidatos!B2:B1001,"?*",Candidatos!F2:F1001,J65)</f>
        <v/>
      </c>
      <c r="K66" s="17">
        <f>COUNTIFS(Candidatos!B2:B1001,"?*",Candidatos!F2:F1001,K65)</f>
        <v/>
      </c>
      <c r="L66" s="17">
        <f>COUNTIFS(Candidatos!B2:B1001,"?*",Candidatos!F2:F1001,L65)</f>
        <v/>
      </c>
      <c r="M66" s="17">
        <f>COUNTIFS(Candidatos!B2:B1001,"?*",Candidatos!F2:F1001,M65)</f>
        <v/>
      </c>
      <c r="N66" s="17">
        <f>COUNTIFS(Candidatos!B2:B1001,"?*",Candidatos!F2:F1001,N65)</f>
        <v/>
      </c>
      <c r="O66" s="17">
        <f>COUNTIFS(Candidatos!B2:B1001,"?*",Candidatos!F2:F1001,O65)</f>
        <v/>
      </c>
      <c r="P66" s="17">
        <f>COUNTIFS(Candidatos!B2:B1001,"?*",Candidatos!F2:F1001,P65)</f>
        <v/>
      </c>
      <c r="Q66" s="17">
        <f>COUNTIFS(Candidatos!B2:B1001,"?*",Candidatos!F2:F1001,Q65)</f>
        <v/>
      </c>
      <c r="R66" s="17">
        <f>COUNTIFS(Candidatos!B2:B1001,"?*",Candidatos!F2:F1001,R65)</f>
        <v/>
      </c>
      <c r="S66" s="17">
        <f>COUNTIFS(Candidatos!B2:B1001,"?*",Candidatos!F2:F1001,S65)</f>
        <v/>
      </c>
      <c r="T66" s="17">
        <f>COUNTIFS(Candidatos!B2:B1001,"?*",Candidatos!F2:F1001,T65)</f>
        <v/>
      </c>
      <c r="U66" s="17">
        <f>COUNTIFS(Candidatos!B2:B1001,"?*",Candidatos!F2:F1001,U65)</f>
        <v/>
      </c>
      <c r="V66" s="17">
        <f>COUNTIFS(Candidatos!B2:B1001,"?*",Candidatos!F2:F1001,V65)</f>
        <v/>
      </c>
      <c r="W66" s="17">
        <f>COUNTIFS(Candidatos!B2:B1001,"?*",Candidatos!F2:F1001,W65)</f>
        <v/>
      </c>
      <c r="X66" s="17">
        <f>COUNTIFS(Candidatos!B2:B1001,"?*",Candidatos!F2:F1001,X65)</f>
        <v/>
      </c>
      <c r="Y66" s="17">
        <f>COUNTIFS(Candidatos!B2:B1001,"?*",Candidatos!F2:F1001,Y65)</f>
        <v/>
      </c>
      <c r="AA66" s="17" t="inlineStr">
        <is>
          <t>CF</t>
        </is>
      </c>
      <c r="AB66" s="17">
        <f>COUNTIFS(Candidatos!B2:B1001,"?*",Candidatos!F2:F1001,AA66)</f>
        <v/>
      </c>
    </row>
    <row r="67" ht="18" customHeight="1" s="72">
      <c r="J67" s="17" t="inlineStr">
        <is>
          <t>SZ</t>
        </is>
      </c>
      <c r="K67" s="17" t="inlineStr">
        <is>
          <t>TC</t>
        </is>
      </c>
      <c r="L67" s="17" t="inlineStr">
        <is>
          <t>TD</t>
        </is>
      </c>
      <c r="M67" s="17" t="inlineStr">
        <is>
          <t>TF</t>
        </is>
      </c>
      <c r="N67" s="17" t="inlineStr">
        <is>
          <t>TG</t>
        </is>
      </c>
      <c r="O67" s="17" t="inlineStr">
        <is>
          <t>TH</t>
        </is>
      </c>
      <c r="P67" s="17" t="inlineStr">
        <is>
          <t>TJ</t>
        </is>
      </c>
      <c r="Q67" s="17" t="inlineStr">
        <is>
          <t>TK</t>
        </is>
      </c>
      <c r="R67" s="17" t="inlineStr">
        <is>
          <t>TL</t>
        </is>
      </c>
      <c r="S67" s="17" t="inlineStr">
        <is>
          <t>TM</t>
        </is>
      </c>
      <c r="T67" s="17" t="inlineStr">
        <is>
          <t>TN</t>
        </is>
      </c>
      <c r="U67" s="17" t="inlineStr">
        <is>
          <t>TR</t>
        </is>
      </c>
      <c r="V67" s="17" t="inlineStr">
        <is>
          <t>TT</t>
        </is>
      </c>
      <c r="W67" s="17" t="inlineStr">
        <is>
          <t>TV</t>
        </is>
      </c>
      <c r="X67" s="17" t="inlineStr">
        <is>
          <t>TW</t>
        </is>
      </c>
      <c r="Y67" s="17" t="inlineStr">
        <is>
          <t>TZ</t>
        </is>
      </c>
      <c r="AA67" s="17" t="inlineStr">
        <is>
          <t>CG</t>
        </is>
      </c>
      <c r="AB67" s="17">
        <f>COUNTIFS(Candidatos!B2:B1001,"?*",Candidatos!F2:F1001,AA67)</f>
        <v/>
      </c>
    </row>
    <row r="68" ht="18" customHeight="1" s="72">
      <c r="J68" s="17">
        <f>COUNTIFS(Candidatos!B2:B1001,"?*",Candidatos!F2:F1001,J67)</f>
        <v/>
      </c>
      <c r="K68" s="17">
        <f>COUNTIFS(Candidatos!B2:B1001,"?*",Candidatos!F2:F1001,K67)</f>
        <v/>
      </c>
      <c r="L68" s="17">
        <f>COUNTIFS(Candidatos!B2:B1001,"?*",Candidatos!F2:F1001,L67)</f>
        <v/>
      </c>
      <c r="M68" s="17">
        <f>COUNTIFS(Candidatos!B2:B1001,"?*",Candidatos!F2:F1001,M67)</f>
        <v/>
      </c>
      <c r="N68" s="17">
        <f>COUNTIFS(Candidatos!B2:B1001,"?*",Candidatos!F2:F1001,N67)</f>
        <v/>
      </c>
      <c r="O68" s="17">
        <f>COUNTIFS(Candidatos!B2:B1001,"?*",Candidatos!F2:F1001,O67)</f>
        <v/>
      </c>
      <c r="P68" s="17">
        <f>COUNTIFS(Candidatos!B2:B1001,"?*",Candidatos!F2:F1001,P67)</f>
        <v/>
      </c>
      <c r="Q68" s="17">
        <f>COUNTIFS(Candidatos!B2:B1001,"?*",Candidatos!F2:F1001,Q67)</f>
        <v/>
      </c>
      <c r="R68" s="17">
        <f>COUNTIFS(Candidatos!B2:B1001,"?*",Candidatos!F2:F1001,R67)</f>
        <v/>
      </c>
      <c r="S68" s="17">
        <f>COUNTIFS(Candidatos!B2:B1001,"?*",Candidatos!F2:F1001,S67)</f>
        <v/>
      </c>
      <c r="T68" s="17">
        <f>COUNTIFS(Candidatos!B2:B1001,"?*",Candidatos!F2:F1001,T67)</f>
        <v/>
      </c>
      <c r="U68" s="17">
        <f>COUNTIFS(Candidatos!B2:B1001,"?*",Candidatos!F2:F1001,U67)</f>
        <v/>
      </c>
      <c r="V68" s="17">
        <f>COUNTIFS(Candidatos!B2:B1001,"?*",Candidatos!F2:F1001,V67)</f>
        <v/>
      </c>
      <c r="W68" s="17">
        <f>COUNTIFS(Candidatos!B2:B1001,"?*",Candidatos!F2:F1001,W67)</f>
        <v/>
      </c>
      <c r="X68" s="17">
        <f>COUNTIFS(Candidatos!B2:B1001,"?*",Candidatos!F2:F1001,X67)</f>
        <v/>
      </c>
      <c r="Y68" s="17">
        <f>COUNTIFS(Candidatos!B2:B1001,"?*",Candidatos!F2:F1001,Y67)</f>
        <v/>
      </c>
      <c r="AA68" s="17" t="inlineStr">
        <is>
          <t>CH</t>
        </is>
      </c>
      <c r="AB68" s="17">
        <f>COUNTIFS(Candidatos!B2:B1001,"?*",Candidatos!F2:F1001,AA68)</f>
        <v/>
      </c>
    </row>
    <row r="69" ht="18" customHeight="1" s="72">
      <c r="J69" s="17" t="inlineStr">
        <is>
          <t>UA</t>
        </is>
      </c>
      <c r="K69" s="17" t="inlineStr">
        <is>
          <t>UG</t>
        </is>
      </c>
      <c r="L69" s="17" t="inlineStr">
        <is>
          <t>UM</t>
        </is>
      </c>
      <c r="M69" s="17" t="inlineStr">
        <is>
          <t>US</t>
        </is>
      </c>
      <c r="N69" s="17" t="inlineStr">
        <is>
          <t>UY</t>
        </is>
      </c>
      <c r="O69" s="17" t="inlineStr">
        <is>
          <t>UZ</t>
        </is>
      </c>
      <c r="P69" s="17" t="inlineStr">
        <is>
          <t>VA</t>
        </is>
      </c>
      <c r="Q69" s="17" t="inlineStr">
        <is>
          <t>VC</t>
        </is>
      </c>
      <c r="R69" s="17" t="inlineStr">
        <is>
          <t>VE</t>
        </is>
      </c>
      <c r="S69" s="17" t="inlineStr">
        <is>
          <t>VG</t>
        </is>
      </c>
      <c r="T69" s="17" t="inlineStr">
        <is>
          <t>VI</t>
        </is>
      </c>
      <c r="U69" s="17" t="inlineStr">
        <is>
          <t>VN</t>
        </is>
      </c>
      <c r="V69" s="17" t="inlineStr">
        <is>
          <t>VU</t>
        </is>
      </c>
      <c r="W69" s="17" t="inlineStr">
        <is>
          <t>WF</t>
        </is>
      </c>
      <c r="X69" s="17" t="inlineStr">
        <is>
          <t>WS</t>
        </is>
      </c>
      <c r="Y69" s="17" t="inlineStr">
        <is>
          <t>YE</t>
        </is>
      </c>
      <c r="AA69" s="17" t="inlineStr">
        <is>
          <t>CI</t>
        </is>
      </c>
      <c r="AB69" s="17">
        <f>COUNTIFS(Candidatos!B2:B1001,"?*",Candidatos!F2:F1001,AA69)</f>
        <v/>
      </c>
    </row>
    <row r="70" ht="18" customHeight="1" s="72">
      <c r="J70" s="17">
        <f>COUNTIFS(Candidatos!B2:B1001,"?*",Candidatos!F2:F1001,J69)</f>
        <v/>
      </c>
      <c r="K70" s="17">
        <f>COUNTIFS(Candidatos!B2:B1001,"?*",Candidatos!F2:F1001,K69)</f>
        <v/>
      </c>
      <c r="L70" s="17">
        <f>COUNTIFS(Candidatos!B2:B1001,"?*",Candidatos!F2:F1001,L69)</f>
        <v/>
      </c>
      <c r="M70" s="17">
        <f>COUNTIFS(Candidatos!B2:B1001,"?*",Candidatos!F2:F1001,M69)</f>
        <v/>
      </c>
      <c r="N70" s="17">
        <f>COUNTIFS(Candidatos!B2:B1001,"?*",Candidatos!F2:F1001,N69)</f>
        <v/>
      </c>
      <c r="O70" s="17">
        <f>COUNTIFS(Candidatos!B2:B1001,"?*",Candidatos!F2:F1001,O69)</f>
        <v/>
      </c>
      <c r="P70" s="17">
        <f>COUNTIFS(Candidatos!B2:B1001,"?*",Candidatos!F2:F1001,P69)</f>
        <v/>
      </c>
      <c r="Q70" s="17">
        <f>COUNTIFS(Candidatos!B2:B1001,"?*",Candidatos!F2:F1001,Q69)</f>
        <v/>
      </c>
      <c r="R70" s="17">
        <f>COUNTIFS(Candidatos!B2:B1001,"?*",Candidatos!F2:F1001,R69)</f>
        <v/>
      </c>
      <c r="S70" s="17">
        <f>COUNTIFS(Candidatos!B2:B1001,"?*",Candidatos!F2:F1001,S69)</f>
        <v/>
      </c>
      <c r="T70" s="17">
        <f>COUNTIFS(Candidatos!B2:B1001,"?*",Candidatos!F2:F1001,T69)</f>
        <v/>
      </c>
      <c r="U70" s="17">
        <f>COUNTIFS(Candidatos!B2:B1001,"?*",Candidatos!F2:F1001,U69)</f>
        <v/>
      </c>
      <c r="V70" s="17">
        <f>COUNTIFS(Candidatos!B2:B1001,"?*",Candidatos!F2:F1001,V69)</f>
        <v/>
      </c>
      <c r="W70" s="17">
        <f>COUNTIFS(Candidatos!B2:B1001,"?*",Candidatos!F2:F1001,W69)</f>
        <v/>
      </c>
      <c r="X70" s="17">
        <f>COUNTIFS(Candidatos!B2:B1001,"?*",Candidatos!F2:F1001,X69)</f>
        <v/>
      </c>
      <c r="Y70" s="17">
        <f>COUNTIFS(Candidatos!B2:B1001,"?*",Candidatos!F2:F1001,Y69)</f>
        <v/>
      </c>
      <c r="AA70" s="17" t="inlineStr">
        <is>
          <t>CK</t>
        </is>
      </c>
      <c r="AB70" s="17">
        <f>COUNTIFS(Candidatos!B2:B1001,"?*",Candidatos!F2:F1001,AA70)</f>
        <v/>
      </c>
    </row>
    <row r="71" ht="18" customHeight="1" s="72">
      <c r="J71" s="17" t="inlineStr">
        <is>
          <t>YT</t>
        </is>
      </c>
      <c r="K71" s="17" t="inlineStr">
        <is>
          <t>ZA</t>
        </is>
      </c>
      <c r="L71" s="17" t="inlineStr">
        <is>
          <t>ZM</t>
        </is>
      </c>
      <c r="AA71" s="17" t="inlineStr">
        <is>
          <t>CL</t>
        </is>
      </c>
      <c r="AB71" s="17">
        <f>COUNTIFS(Candidatos!B2:B1001,"?*",Candidatos!F2:F1001,AA71)</f>
        <v/>
      </c>
    </row>
    <row r="72" ht="18" customHeight="1" s="72">
      <c r="J72" s="17">
        <f>COUNTIFS(Candidatos!B2:B1001,"?*",Candidatos!F2:F1001,J71)</f>
        <v/>
      </c>
      <c r="K72" s="17">
        <f>COUNTIFS(Candidatos!B2:B1001,"?*",Candidatos!F2:F1001,K71)</f>
        <v/>
      </c>
      <c r="L72" s="17">
        <f>COUNTIFS(Candidatos!B2:B1001,"?*",Candidatos!F2:F1001,L71)</f>
        <v/>
      </c>
      <c r="AA72" s="17" t="inlineStr">
        <is>
          <t>CM</t>
        </is>
      </c>
      <c r="AB72" s="17">
        <f>COUNTIFS(Candidatos!B2:B1001,"?*",Candidatos!F2:F1001,AA72)</f>
        <v/>
      </c>
    </row>
    <row r="73" ht="18" customHeight="1" s="72">
      <c r="AA73" s="17" t="inlineStr">
        <is>
          <t>CN</t>
        </is>
      </c>
      <c r="AB73" s="17">
        <f>COUNTIFS(Candidatos!B2:B1001,"?*",Candidatos!F2:F1001,AA73)</f>
        <v/>
      </c>
    </row>
    <row r="74" ht="18" customHeight="1" s="72">
      <c r="AA74" s="17" t="inlineStr">
        <is>
          <t>CO</t>
        </is>
      </c>
      <c r="AB74" s="17">
        <f>COUNTIFS(Candidatos!B2:B1001,"?*",Candidatos!F2:F1001,AA74)</f>
        <v/>
      </c>
    </row>
    <row r="75">
      <c r="AA75" s="17" t="inlineStr">
        <is>
          <t>CR</t>
        </is>
      </c>
      <c r="AB75" s="17">
        <f>COUNTIFS(Candidatos!B2:B1001,"?*",Candidatos!F2:F1001,AA75)</f>
        <v/>
      </c>
    </row>
    <row r="76">
      <c r="AA76" s="17" t="inlineStr">
        <is>
          <t>CU</t>
        </is>
      </c>
      <c r="AB76" s="17">
        <f>COUNTIFS(Candidatos!B2:B1001,"?*",Candidatos!F2:F1001,AA76)</f>
        <v/>
      </c>
    </row>
    <row r="77">
      <c r="AA77" s="17" t="inlineStr">
        <is>
          <t>CV</t>
        </is>
      </c>
      <c r="AB77" s="17">
        <f>COUNTIFS(Candidatos!B2:B1001,"?*",Candidatos!F2:F1001,AA77)</f>
        <v/>
      </c>
    </row>
    <row r="78">
      <c r="AA78" s="17" t="inlineStr">
        <is>
          <t>CW</t>
        </is>
      </c>
      <c r="AB78" s="17">
        <f>COUNTIFS(Candidatos!B2:B1001,"?*",Candidatos!F2:F1001,AA78)</f>
        <v/>
      </c>
    </row>
    <row r="79">
      <c r="AA79" s="17" t="inlineStr">
        <is>
          <t>CX</t>
        </is>
      </c>
      <c r="AB79" s="17">
        <f>COUNTIFS(Candidatos!B2:B1001,"?*",Candidatos!F2:F1001,AA79)</f>
        <v/>
      </c>
    </row>
    <row r="80">
      <c r="AA80" s="17" t="inlineStr">
        <is>
          <t>CY</t>
        </is>
      </c>
      <c r="AB80" s="17">
        <f>COUNTIFS(Candidatos!B2:B1001,"?*",Candidatos!F2:F1001,AA80)</f>
        <v/>
      </c>
    </row>
    <row r="81">
      <c r="AA81" s="17" t="inlineStr">
        <is>
          <t>CZ</t>
        </is>
      </c>
      <c r="AB81" s="17">
        <f>COUNTIFS(Candidatos!B2:B1001,"?*",Candidatos!F2:F1001,AA81)</f>
        <v/>
      </c>
    </row>
    <row r="82">
      <c r="AA82" s="17" t="inlineStr">
        <is>
          <t>DE</t>
        </is>
      </c>
      <c r="AB82" s="17">
        <f>COUNTIFS(Candidatos!B2:B1001,"?*",Candidatos!F2:F1001,AA82)</f>
        <v/>
      </c>
    </row>
    <row r="83">
      <c r="AA83" s="17" t="inlineStr">
        <is>
          <t>DJ</t>
        </is>
      </c>
      <c r="AB83" s="17">
        <f>COUNTIFS(Candidatos!B2:B1001,"?*",Candidatos!F2:F1001,AA83)</f>
        <v/>
      </c>
    </row>
    <row r="84">
      <c r="AA84" s="17" t="inlineStr">
        <is>
          <t>DK</t>
        </is>
      </c>
      <c r="AB84" s="17">
        <f>COUNTIFS(Candidatos!B2:B1001,"?*",Candidatos!F2:F1001,AA84)</f>
        <v/>
      </c>
    </row>
    <row r="85">
      <c r="AA85" s="17" t="inlineStr">
        <is>
          <t>DM</t>
        </is>
      </c>
      <c r="AB85" s="17">
        <f>COUNTIFS(Candidatos!B2:B1001,"?*",Candidatos!F2:F1001,AA85)</f>
        <v/>
      </c>
    </row>
    <row r="86">
      <c r="AA86" s="17" t="inlineStr">
        <is>
          <t>DO</t>
        </is>
      </c>
      <c r="AB86" s="17">
        <f>COUNTIFS(Candidatos!B2:B1001,"?*",Candidatos!F2:F1001,AA86)</f>
        <v/>
      </c>
    </row>
    <row r="87">
      <c r="AA87" s="17" t="inlineStr">
        <is>
          <t>DZ</t>
        </is>
      </c>
      <c r="AB87" s="17">
        <f>COUNTIFS(Candidatos!B2:B1001,"?*",Candidatos!F2:F1001,AA87)</f>
        <v/>
      </c>
    </row>
    <row r="88">
      <c r="AA88" s="17" t="inlineStr">
        <is>
          <t>EC</t>
        </is>
      </c>
      <c r="AB88" s="17">
        <f>COUNTIFS(Candidatos!B2:B1001,"?*",Candidatos!F2:F1001,AA88)</f>
        <v/>
      </c>
    </row>
    <row r="89">
      <c r="AA89" s="17" t="inlineStr">
        <is>
          <t>EE</t>
        </is>
      </c>
      <c r="AB89" s="17">
        <f>COUNTIFS(Candidatos!B2:B1001,"?*",Candidatos!F2:F1001,AA89)</f>
        <v/>
      </c>
    </row>
    <row r="90">
      <c r="AA90" s="17" t="inlineStr">
        <is>
          <t>EG</t>
        </is>
      </c>
      <c r="AB90" s="17">
        <f>COUNTIFS(Candidatos!B2:B1001,"?*",Candidatos!F2:F1001,AA90)</f>
        <v/>
      </c>
    </row>
    <row r="91">
      <c r="AA91" s="17" t="inlineStr">
        <is>
          <t>EH</t>
        </is>
      </c>
      <c r="AB91" s="17">
        <f>COUNTIFS(Candidatos!B2:B1001,"?*",Candidatos!F2:F1001,AA91)</f>
        <v/>
      </c>
    </row>
    <row r="92">
      <c r="AA92" s="17" t="inlineStr">
        <is>
          <t>ER</t>
        </is>
      </c>
      <c r="AB92" s="17">
        <f>COUNTIFS(Candidatos!B2:B1001,"?*",Candidatos!F2:F1001,AA92)</f>
        <v/>
      </c>
    </row>
    <row r="93">
      <c r="AA93" s="17" t="inlineStr">
        <is>
          <t>ET</t>
        </is>
      </c>
      <c r="AB93" s="17">
        <f>COUNTIFS(Candidatos!B2:B1001,"?*",Candidatos!F2:F1001,AA93)</f>
        <v/>
      </c>
    </row>
    <row r="94">
      <c r="AA94" s="17" t="inlineStr">
        <is>
          <t>FI</t>
        </is>
      </c>
      <c r="AB94" s="17">
        <f>COUNTIFS(Candidatos!B2:B1001,"?*",Candidatos!F2:F1001,AA94)</f>
        <v/>
      </c>
    </row>
    <row r="95">
      <c r="AA95" s="17" t="inlineStr">
        <is>
          <t>FJ</t>
        </is>
      </c>
      <c r="AB95" s="17">
        <f>COUNTIFS(Candidatos!B2:B1001,"?*",Candidatos!F2:F1001,AA95)</f>
        <v/>
      </c>
    </row>
    <row r="96">
      <c r="AA96" s="17" t="inlineStr">
        <is>
          <t>FK</t>
        </is>
      </c>
      <c r="AB96" s="17">
        <f>COUNTIFS(Candidatos!B2:B1001,"?*",Candidatos!F2:F1001,AA96)</f>
        <v/>
      </c>
    </row>
    <row r="97">
      <c r="AA97" s="17" t="inlineStr">
        <is>
          <t>FM</t>
        </is>
      </c>
      <c r="AB97" s="17">
        <f>COUNTIFS(Candidatos!B2:B1001,"?*",Candidatos!F2:F1001,AA97)</f>
        <v/>
      </c>
    </row>
    <row r="98">
      <c r="AA98" s="17" t="inlineStr">
        <is>
          <t>FO</t>
        </is>
      </c>
      <c r="AB98" s="17">
        <f>COUNTIFS(Candidatos!B2:B1001,"?*",Candidatos!F2:F1001,AA98)</f>
        <v/>
      </c>
    </row>
    <row r="99">
      <c r="AA99" s="17" t="inlineStr">
        <is>
          <t>FR</t>
        </is>
      </c>
      <c r="AB99" s="17">
        <f>COUNTIFS(Candidatos!B2:B1001,"?*",Candidatos!F2:F1001,AA99)</f>
        <v/>
      </c>
    </row>
    <row r="100">
      <c r="AA100" s="17" t="inlineStr">
        <is>
          <t>GA</t>
        </is>
      </c>
      <c r="AB100" s="17">
        <f>COUNTIFS(Candidatos!B2:B1001,"?*",Candidatos!F2:F1001,AA100)</f>
        <v/>
      </c>
    </row>
    <row r="101">
      <c r="AA101" s="17" t="inlineStr">
        <is>
          <t>GB</t>
        </is>
      </c>
      <c r="AB101" s="17">
        <f>COUNTIFS(Candidatos!B2:B1001,"?*",Candidatos!F2:F1001,AA101)</f>
        <v/>
      </c>
    </row>
    <row r="102">
      <c r="AA102" s="17" t="inlineStr">
        <is>
          <t>GD</t>
        </is>
      </c>
      <c r="AB102" s="17">
        <f>COUNTIFS(Candidatos!B2:B1001,"?*",Candidatos!F2:F1001,AA102)</f>
        <v/>
      </c>
    </row>
    <row r="103">
      <c r="AA103" s="17" t="inlineStr">
        <is>
          <t>GE</t>
        </is>
      </c>
      <c r="AB103" s="17">
        <f>COUNTIFS(Candidatos!B2:B1001,"?*",Candidatos!F2:F1001,AA103)</f>
        <v/>
      </c>
    </row>
    <row r="104">
      <c r="AA104" s="17" t="inlineStr">
        <is>
          <t>GF</t>
        </is>
      </c>
      <c r="AB104" s="17">
        <f>COUNTIFS(Candidatos!B2:B1001,"?*",Candidatos!F2:F1001,AA104)</f>
        <v/>
      </c>
    </row>
    <row r="105">
      <c r="AA105" s="17" t="inlineStr">
        <is>
          <t>GG</t>
        </is>
      </c>
      <c r="AB105" s="17">
        <f>COUNTIFS(Candidatos!B2:B1001,"?*",Candidatos!F2:F1001,AA105)</f>
        <v/>
      </c>
    </row>
    <row r="106">
      <c r="AA106" s="17" t="inlineStr">
        <is>
          <t>GH</t>
        </is>
      </c>
      <c r="AB106" s="17">
        <f>COUNTIFS(Candidatos!B2:B1001,"?*",Candidatos!F2:F1001,AA106)</f>
        <v/>
      </c>
    </row>
    <row r="107">
      <c r="AA107" s="17" t="inlineStr">
        <is>
          <t>GI</t>
        </is>
      </c>
      <c r="AB107" s="17">
        <f>COUNTIFS(Candidatos!B2:B1001,"?*",Candidatos!F2:F1001,AA107)</f>
        <v/>
      </c>
    </row>
    <row r="108">
      <c r="AA108" s="17" t="inlineStr">
        <is>
          <t>GL</t>
        </is>
      </c>
      <c r="AB108" s="17">
        <f>COUNTIFS(Candidatos!B2:B1001,"?*",Candidatos!F2:F1001,AA108)</f>
        <v/>
      </c>
    </row>
    <row r="109">
      <c r="AA109" s="17" t="inlineStr">
        <is>
          <t>GM</t>
        </is>
      </c>
      <c r="AB109" s="17">
        <f>COUNTIFS(Candidatos!B2:B1001,"?*",Candidatos!F2:F1001,AA109)</f>
        <v/>
      </c>
    </row>
    <row r="110">
      <c r="AA110" s="17" t="inlineStr">
        <is>
          <t>GN</t>
        </is>
      </c>
      <c r="AB110" s="17">
        <f>COUNTIFS(Candidatos!B2:B1001,"?*",Candidatos!F2:F1001,AA110)</f>
        <v/>
      </c>
    </row>
    <row r="111">
      <c r="AA111" s="17" t="inlineStr">
        <is>
          <t>GP</t>
        </is>
      </c>
      <c r="AB111" s="17">
        <f>COUNTIFS(Candidatos!B2:B1001,"?*",Candidatos!F2:F1001,AA111)</f>
        <v/>
      </c>
    </row>
    <row r="112">
      <c r="AA112" s="17" t="inlineStr">
        <is>
          <t>GQ</t>
        </is>
      </c>
      <c r="AB112" s="17">
        <f>COUNTIFS(Candidatos!B2:B1001,"?*",Candidatos!F2:F1001,AA112)</f>
        <v/>
      </c>
    </row>
    <row r="113">
      <c r="AA113" s="17" t="inlineStr">
        <is>
          <t>GR</t>
        </is>
      </c>
      <c r="AB113" s="17">
        <f>COUNTIFS(Candidatos!B2:B1001,"?*",Candidatos!F2:F1001,AA113)</f>
        <v/>
      </c>
    </row>
    <row r="114">
      <c r="AA114" s="17" t="inlineStr">
        <is>
          <t>GS</t>
        </is>
      </c>
      <c r="AB114" s="17">
        <f>COUNTIFS(Candidatos!B2:B1001,"?*",Candidatos!F2:F1001,AA114)</f>
        <v/>
      </c>
    </row>
    <row r="115">
      <c r="AA115" s="17" t="inlineStr">
        <is>
          <t>GT</t>
        </is>
      </c>
      <c r="AB115" s="17">
        <f>COUNTIFS(Candidatos!B2:B1001,"?*",Candidatos!F2:F1001,AA115)</f>
        <v/>
      </c>
    </row>
    <row r="116">
      <c r="AA116" s="17" t="inlineStr">
        <is>
          <t>GU</t>
        </is>
      </c>
      <c r="AB116" s="17">
        <f>COUNTIFS(Candidatos!B2:B1001,"?*",Candidatos!F2:F1001,AA116)</f>
        <v/>
      </c>
    </row>
    <row r="117">
      <c r="AA117" s="17" t="inlineStr">
        <is>
          <t>GW</t>
        </is>
      </c>
      <c r="AB117" s="17">
        <f>COUNTIFS(Candidatos!B2:B1001,"?*",Candidatos!F2:F1001,AA117)</f>
        <v/>
      </c>
    </row>
    <row r="118">
      <c r="AA118" s="17" t="inlineStr">
        <is>
          <t>GY</t>
        </is>
      </c>
      <c r="AB118" s="17">
        <f>COUNTIFS(Candidatos!B2:B1001,"?*",Candidatos!F2:F1001,AA118)</f>
        <v/>
      </c>
    </row>
    <row r="119">
      <c r="AA119" s="17" t="inlineStr">
        <is>
          <t>HK</t>
        </is>
      </c>
      <c r="AB119" s="17">
        <f>COUNTIFS(Candidatos!B2:B1001,"?*",Candidatos!F2:F1001,AA119)</f>
        <v/>
      </c>
    </row>
    <row r="120">
      <c r="AA120" s="17" t="inlineStr">
        <is>
          <t>HM</t>
        </is>
      </c>
      <c r="AB120" s="17">
        <f>COUNTIFS(Candidatos!B2:B1001,"?*",Candidatos!F2:F1001,AA120)</f>
        <v/>
      </c>
    </row>
    <row r="121">
      <c r="AA121" s="17" t="inlineStr">
        <is>
          <t>HN</t>
        </is>
      </c>
      <c r="AB121" s="17">
        <f>COUNTIFS(Candidatos!B2:B1001,"?*",Candidatos!F2:F1001,AA121)</f>
        <v/>
      </c>
    </row>
    <row r="122">
      <c r="AA122" s="17" t="inlineStr">
        <is>
          <t>HR</t>
        </is>
      </c>
      <c r="AB122" s="17">
        <f>COUNTIFS(Candidatos!B2:B1001,"?*",Candidatos!F2:F1001,AA122)</f>
        <v/>
      </c>
    </row>
    <row r="123">
      <c r="AA123" s="17" t="inlineStr">
        <is>
          <t>HT</t>
        </is>
      </c>
      <c r="AB123" s="17">
        <f>COUNTIFS(Candidatos!B2:B1001,"?*",Candidatos!F2:F1001,AA123)</f>
        <v/>
      </c>
    </row>
    <row r="124">
      <c r="AA124" s="17" t="inlineStr">
        <is>
          <t>HU</t>
        </is>
      </c>
      <c r="AB124" s="17">
        <f>COUNTIFS(Candidatos!B2:B1001,"?*",Candidatos!F2:F1001,AA124)</f>
        <v/>
      </c>
    </row>
    <row r="125">
      <c r="AA125" s="17" t="inlineStr">
        <is>
          <t>ID</t>
        </is>
      </c>
      <c r="AB125" s="17">
        <f>COUNTIFS(Candidatos!B2:B1001,"?*",Candidatos!F2:F1001,AA125)</f>
        <v/>
      </c>
    </row>
    <row r="126">
      <c r="AA126" s="17" t="inlineStr">
        <is>
          <t>IE</t>
        </is>
      </c>
      <c r="AB126" s="17">
        <f>COUNTIFS(Candidatos!B2:B1001,"?*",Candidatos!F2:F1001,AA126)</f>
        <v/>
      </c>
    </row>
    <row r="127">
      <c r="AA127" s="17" t="inlineStr">
        <is>
          <t>IL</t>
        </is>
      </c>
      <c r="AB127" s="17">
        <f>COUNTIFS(Candidatos!B2:B1001,"?*",Candidatos!F2:F1001,AA127)</f>
        <v/>
      </c>
    </row>
    <row r="128">
      <c r="AA128" s="17" t="inlineStr">
        <is>
          <t>IM</t>
        </is>
      </c>
      <c r="AB128" s="17">
        <f>COUNTIFS(Candidatos!B2:B1001,"?*",Candidatos!F2:F1001,AA128)</f>
        <v/>
      </c>
    </row>
    <row r="129">
      <c r="AA129" s="17" t="inlineStr">
        <is>
          <t>IN</t>
        </is>
      </c>
      <c r="AB129" s="17">
        <f>COUNTIFS(Candidatos!B2:B1001,"?*",Candidatos!F2:F1001,AA129)</f>
        <v/>
      </c>
    </row>
    <row r="130">
      <c r="AA130" s="17" t="inlineStr">
        <is>
          <t>IO</t>
        </is>
      </c>
      <c r="AB130" s="17">
        <f>COUNTIFS(Candidatos!B2:B1001,"?*",Candidatos!F2:F1001,AA130)</f>
        <v/>
      </c>
    </row>
    <row r="131">
      <c r="AA131" s="17" t="inlineStr">
        <is>
          <t>IQ</t>
        </is>
      </c>
      <c r="AB131" s="17">
        <f>COUNTIFS(Candidatos!B2:B1001,"?*",Candidatos!F2:F1001,AA131)</f>
        <v/>
      </c>
    </row>
    <row r="132">
      <c r="AA132" s="17" t="inlineStr">
        <is>
          <t>IR</t>
        </is>
      </c>
      <c r="AB132" s="17">
        <f>COUNTIFS(Candidatos!B2:B1001,"?*",Candidatos!F2:F1001,AA132)</f>
        <v/>
      </c>
    </row>
    <row r="133">
      <c r="AA133" s="17" t="inlineStr">
        <is>
          <t>IS</t>
        </is>
      </c>
      <c r="AB133" s="17">
        <f>COUNTIFS(Candidatos!B2:B1001,"?*",Candidatos!F2:F1001,AA133)</f>
        <v/>
      </c>
    </row>
    <row r="134">
      <c r="AA134" s="17" t="inlineStr">
        <is>
          <t>IT</t>
        </is>
      </c>
      <c r="AB134" s="17">
        <f>COUNTIFS(Candidatos!B2:B1001,"?*",Candidatos!F2:F1001,AA134)</f>
        <v/>
      </c>
    </row>
    <row r="135">
      <c r="AA135" s="17" t="inlineStr">
        <is>
          <t>JE</t>
        </is>
      </c>
      <c r="AB135" s="17">
        <f>COUNTIFS(Candidatos!B2:B1001,"?*",Candidatos!F2:F1001,AA135)</f>
        <v/>
      </c>
    </row>
    <row r="136">
      <c r="AA136" s="17" t="inlineStr">
        <is>
          <t>JM</t>
        </is>
      </c>
      <c r="AB136" s="17">
        <f>COUNTIFS(Candidatos!B2:B1001,"?*",Candidatos!F2:F1001,AA136)</f>
        <v/>
      </c>
    </row>
    <row r="137">
      <c r="AA137" s="17" t="inlineStr">
        <is>
          <t>JO</t>
        </is>
      </c>
      <c r="AB137" s="17">
        <f>COUNTIFS(Candidatos!B2:B1001,"?*",Candidatos!F2:F1001,AA137)</f>
        <v/>
      </c>
    </row>
    <row r="138">
      <c r="AA138" s="17" t="inlineStr">
        <is>
          <t>JP</t>
        </is>
      </c>
      <c r="AB138" s="17">
        <f>COUNTIFS(Candidatos!B2:B1001,"?*",Candidatos!F2:F1001,AA138)</f>
        <v/>
      </c>
    </row>
    <row r="139">
      <c r="AA139" s="17" t="inlineStr">
        <is>
          <t>KE</t>
        </is>
      </c>
      <c r="AB139" s="17">
        <f>COUNTIFS(Candidatos!B2:B1001,"?*",Candidatos!F2:F1001,AA139)</f>
        <v/>
      </c>
    </row>
    <row r="140">
      <c r="AA140" s="17" t="inlineStr">
        <is>
          <t>KG</t>
        </is>
      </c>
      <c r="AB140" s="17">
        <f>COUNTIFS(Candidatos!B2:B1001,"?*",Candidatos!F2:F1001,AA140)</f>
        <v/>
      </c>
    </row>
    <row r="141">
      <c r="AA141" s="17" t="inlineStr">
        <is>
          <t>KH</t>
        </is>
      </c>
      <c r="AB141" s="17">
        <f>COUNTIFS(Candidatos!B2:B1001,"?*",Candidatos!F2:F1001,AA141)</f>
        <v/>
      </c>
    </row>
    <row r="142">
      <c r="AA142" s="17" t="inlineStr">
        <is>
          <t>KI</t>
        </is>
      </c>
      <c r="AB142" s="17">
        <f>COUNTIFS(Candidatos!B2:B1001,"?*",Candidatos!F2:F1001,AA142)</f>
        <v/>
      </c>
    </row>
    <row r="143">
      <c r="AA143" s="17" t="inlineStr">
        <is>
          <t>KM</t>
        </is>
      </c>
      <c r="AB143" s="17">
        <f>COUNTIFS(Candidatos!B2:B1001,"?*",Candidatos!F2:F1001,AA143)</f>
        <v/>
      </c>
    </row>
    <row r="144">
      <c r="AA144" s="17" t="inlineStr">
        <is>
          <t>KN</t>
        </is>
      </c>
      <c r="AB144" s="17">
        <f>COUNTIFS(Candidatos!B2:B1001,"?*",Candidatos!F2:F1001,AA144)</f>
        <v/>
      </c>
    </row>
    <row r="145">
      <c r="AA145" s="17" t="inlineStr">
        <is>
          <t>KP</t>
        </is>
      </c>
      <c r="AB145" s="17">
        <f>COUNTIFS(Candidatos!B2:B1001,"?*",Candidatos!F2:F1001,AA145)</f>
        <v/>
      </c>
    </row>
    <row r="146">
      <c r="AA146" s="17" t="inlineStr">
        <is>
          <t>KR</t>
        </is>
      </c>
      <c r="AB146" s="17">
        <f>COUNTIFS(Candidatos!B2:B1001,"?*",Candidatos!F2:F1001,AA146)</f>
        <v/>
      </c>
    </row>
    <row r="147">
      <c r="AA147" s="17" t="inlineStr">
        <is>
          <t>KW</t>
        </is>
      </c>
      <c r="AB147" s="17">
        <f>COUNTIFS(Candidatos!B2:B1001,"?*",Candidatos!F2:F1001,AA147)</f>
        <v/>
      </c>
    </row>
    <row r="148">
      <c r="AA148" s="17" t="inlineStr">
        <is>
          <t>KY</t>
        </is>
      </c>
      <c r="AB148" s="17">
        <f>COUNTIFS(Candidatos!B2:B1001,"?*",Candidatos!F2:F1001,AA148)</f>
        <v/>
      </c>
    </row>
    <row r="149">
      <c r="AA149" s="17" t="inlineStr">
        <is>
          <t>KZ</t>
        </is>
      </c>
      <c r="AB149" s="17">
        <f>COUNTIFS(Candidatos!B2:B1001,"?*",Candidatos!F2:F1001,AA149)</f>
        <v/>
      </c>
    </row>
    <row r="150">
      <c r="AA150" s="17" t="inlineStr">
        <is>
          <t>LA</t>
        </is>
      </c>
      <c r="AB150" s="17">
        <f>COUNTIFS(Candidatos!B2:B1001,"?*",Candidatos!F2:F1001,AA150)</f>
        <v/>
      </c>
    </row>
    <row r="151">
      <c r="AA151" s="17" t="inlineStr">
        <is>
          <t>LB</t>
        </is>
      </c>
      <c r="AB151" s="17">
        <f>COUNTIFS(Candidatos!B2:B1001,"?*",Candidatos!F2:F1001,AA151)</f>
        <v/>
      </c>
    </row>
    <row r="152">
      <c r="AA152" s="17" t="inlineStr">
        <is>
          <t>LC</t>
        </is>
      </c>
      <c r="AB152" s="17">
        <f>COUNTIFS(Candidatos!B2:B1001,"?*",Candidatos!F2:F1001,AA152)</f>
        <v/>
      </c>
    </row>
    <row r="153">
      <c r="AA153" s="17" t="inlineStr">
        <is>
          <t>LI</t>
        </is>
      </c>
      <c r="AB153" s="17">
        <f>COUNTIFS(Candidatos!B2:B1001,"?*",Candidatos!F2:F1001,AA153)</f>
        <v/>
      </c>
    </row>
    <row r="154">
      <c r="AA154" s="17" t="inlineStr">
        <is>
          <t>LK</t>
        </is>
      </c>
      <c r="AB154" s="17">
        <f>COUNTIFS(Candidatos!B2:B1001,"?*",Candidatos!F2:F1001,AA154)</f>
        <v/>
      </c>
    </row>
    <row r="155">
      <c r="AA155" s="17" t="inlineStr">
        <is>
          <t>LR</t>
        </is>
      </c>
      <c r="AB155" s="17">
        <f>COUNTIFS(Candidatos!B2:B1001,"?*",Candidatos!F2:F1001,AA155)</f>
        <v/>
      </c>
    </row>
    <row r="156">
      <c r="AA156" s="17" t="inlineStr">
        <is>
          <t>LS</t>
        </is>
      </c>
      <c r="AB156" s="17">
        <f>COUNTIFS(Candidatos!B2:B1001,"?*",Candidatos!F2:F1001,AA156)</f>
        <v/>
      </c>
    </row>
    <row r="157">
      <c r="AA157" s="17" t="inlineStr">
        <is>
          <t>LT</t>
        </is>
      </c>
      <c r="AB157" s="17">
        <f>COUNTIFS(Candidatos!B2:B1001,"?*",Candidatos!F2:F1001,AA157)</f>
        <v/>
      </c>
    </row>
    <row r="158">
      <c r="AA158" s="17" t="inlineStr">
        <is>
          <t>LU</t>
        </is>
      </c>
      <c r="AB158" s="17">
        <f>COUNTIFS(Candidatos!B2:B1001,"?*",Candidatos!F2:F1001,AA158)</f>
        <v/>
      </c>
    </row>
    <row r="159">
      <c r="AA159" s="17" t="inlineStr">
        <is>
          <t>LV</t>
        </is>
      </c>
      <c r="AB159" s="17">
        <f>COUNTIFS(Candidatos!B2:B1001,"?*",Candidatos!F2:F1001,AA159)</f>
        <v/>
      </c>
    </row>
    <row r="160">
      <c r="AA160" s="17" t="inlineStr">
        <is>
          <t>LY</t>
        </is>
      </c>
      <c r="AB160" s="17">
        <f>COUNTIFS(Candidatos!B2:B1001,"?*",Candidatos!F2:F1001,AA160)</f>
        <v/>
      </c>
    </row>
    <row r="161">
      <c r="AA161" s="17" t="inlineStr">
        <is>
          <t>MC</t>
        </is>
      </c>
      <c r="AB161" s="17">
        <f>COUNTIFS(Candidatos!B2:B1001,"?*",Candidatos!F2:F1001,AA161)</f>
        <v/>
      </c>
    </row>
    <row r="162">
      <c r="AA162" s="17" t="inlineStr">
        <is>
          <t>MD</t>
        </is>
      </c>
      <c r="AB162" s="17">
        <f>COUNTIFS(Candidatos!B2:B1001,"?*",Candidatos!F2:F1001,AA162)</f>
        <v/>
      </c>
    </row>
    <row r="163">
      <c r="AA163" s="17" t="inlineStr">
        <is>
          <t>ME</t>
        </is>
      </c>
      <c r="AB163" s="17">
        <f>COUNTIFS(Candidatos!B2:B1001,"?*",Candidatos!F2:F1001,AA163)</f>
        <v/>
      </c>
    </row>
    <row r="164">
      <c r="AA164" s="17" t="inlineStr">
        <is>
          <t>MF</t>
        </is>
      </c>
      <c r="AB164" s="17">
        <f>COUNTIFS(Candidatos!B2:B1001,"?*",Candidatos!F2:F1001,AA164)</f>
        <v/>
      </c>
    </row>
    <row r="165">
      <c r="AA165" s="17" t="inlineStr">
        <is>
          <t>MH</t>
        </is>
      </c>
      <c r="AB165" s="17">
        <f>COUNTIFS(Candidatos!B2:B1001,"?*",Candidatos!F2:F1001,AA165)</f>
        <v/>
      </c>
    </row>
    <row r="166">
      <c r="AA166" s="17" t="inlineStr">
        <is>
          <t>MK</t>
        </is>
      </c>
      <c r="AB166" s="17">
        <f>COUNTIFS(Candidatos!B2:B1001,"?*",Candidatos!F2:F1001,AA166)</f>
        <v/>
      </c>
    </row>
    <row r="167">
      <c r="AA167" s="17" t="inlineStr">
        <is>
          <t>ML</t>
        </is>
      </c>
      <c r="AB167" s="17">
        <f>COUNTIFS(Candidatos!B2:B1001,"?*",Candidatos!F2:F1001,AA167)</f>
        <v/>
      </c>
    </row>
    <row r="168">
      <c r="AA168" s="17" t="inlineStr">
        <is>
          <t>MM</t>
        </is>
      </c>
      <c r="AB168" s="17">
        <f>COUNTIFS(Candidatos!B2:B1001,"?*",Candidatos!F2:F1001,AA168)</f>
        <v/>
      </c>
    </row>
    <row r="169">
      <c r="AA169" s="17" t="inlineStr">
        <is>
          <t>MN</t>
        </is>
      </c>
      <c r="AB169" s="17">
        <f>COUNTIFS(Candidatos!B2:B1001,"?*",Candidatos!F2:F1001,AA169)</f>
        <v/>
      </c>
    </row>
    <row r="170">
      <c r="AA170" s="17" t="inlineStr">
        <is>
          <t>MO</t>
        </is>
      </c>
      <c r="AB170" s="17">
        <f>COUNTIFS(Candidatos!B2:B1001,"?*",Candidatos!F2:F1001,AA170)</f>
        <v/>
      </c>
    </row>
    <row r="171">
      <c r="AA171" s="17" t="inlineStr">
        <is>
          <t>MP</t>
        </is>
      </c>
      <c r="AB171" s="17">
        <f>COUNTIFS(Candidatos!B2:B1001,"?*",Candidatos!F2:F1001,AA171)</f>
        <v/>
      </c>
    </row>
    <row r="172">
      <c r="AA172" s="17" t="inlineStr">
        <is>
          <t>MQ</t>
        </is>
      </c>
      <c r="AB172" s="17">
        <f>COUNTIFS(Candidatos!B2:B1001,"?*",Candidatos!F2:F1001,AA172)</f>
        <v/>
      </c>
    </row>
    <row r="173">
      <c r="AA173" s="17" t="inlineStr">
        <is>
          <t>MR</t>
        </is>
      </c>
      <c r="AB173" s="17">
        <f>COUNTIFS(Candidatos!B2:B1001,"?*",Candidatos!F2:F1001,AA173)</f>
        <v/>
      </c>
    </row>
    <row r="174">
      <c r="AA174" s="17" t="inlineStr">
        <is>
          <t>MU</t>
        </is>
      </c>
      <c r="AB174" s="17">
        <f>COUNTIFS(Candidatos!B2:B1001,"?*",Candidatos!F2:F1001,AA174)</f>
        <v/>
      </c>
    </row>
    <row r="175">
      <c r="AA175" s="17" t="inlineStr">
        <is>
          <t>MV</t>
        </is>
      </c>
      <c r="AB175" s="17">
        <f>COUNTIFS(Candidatos!B2:B1001,"?*",Candidatos!F2:F1001,AA175)</f>
        <v/>
      </c>
    </row>
    <row r="176">
      <c r="AA176" s="17" t="inlineStr">
        <is>
          <t>MW</t>
        </is>
      </c>
      <c r="AB176" s="17">
        <f>COUNTIFS(Candidatos!B2:B1001,"?*",Candidatos!F2:F1001,AA176)</f>
        <v/>
      </c>
    </row>
    <row r="177">
      <c r="AA177" s="17" t="inlineStr">
        <is>
          <t>MX</t>
        </is>
      </c>
      <c r="AB177" s="17">
        <f>COUNTIFS(Candidatos!B2:B1001,"?*",Candidatos!F2:F1001,AA177)</f>
        <v/>
      </c>
    </row>
    <row r="178">
      <c r="AA178" s="17" t="inlineStr">
        <is>
          <t>MY</t>
        </is>
      </c>
      <c r="AB178" s="17">
        <f>COUNTIFS(Candidatos!B2:B1001,"?*",Candidatos!F2:F1001,AA178)</f>
        <v/>
      </c>
    </row>
    <row r="179">
      <c r="AA179" s="17" t="inlineStr">
        <is>
          <t>MZ</t>
        </is>
      </c>
      <c r="AB179" s="17">
        <f>COUNTIFS(Candidatos!B2:B1001,"?*",Candidatos!F2:F1001,AA179)</f>
        <v/>
      </c>
    </row>
    <row r="180">
      <c r="AA180" s="17" t="inlineStr">
        <is>
          <t>NA</t>
        </is>
      </c>
      <c r="AB180" s="17">
        <f>COUNTIFS(Candidatos!B2:B1001,"?*",Candidatos!F2:F1001,AA180)</f>
        <v/>
      </c>
    </row>
    <row r="181">
      <c r="AA181" s="17" t="inlineStr">
        <is>
          <t>NC</t>
        </is>
      </c>
      <c r="AB181" s="17">
        <f>COUNTIFS(Candidatos!B2:B1001,"?*",Candidatos!F2:F1001,AA181)</f>
        <v/>
      </c>
    </row>
    <row r="182">
      <c r="AA182" s="17" t="inlineStr">
        <is>
          <t>NE</t>
        </is>
      </c>
      <c r="AB182" s="17">
        <f>COUNTIFS(Candidatos!B2:B1001,"?*",Candidatos!F2:F1001,AA182)</f>
        <v/>
      </c>
    </row>
    <row r="183">
      <c r="AA183" s="17" t="inlineStr">
        <is>
          <t>NF</t>
        </is>
      </c>
      <c r="AB183" s="17">
        <f>COUNTIFS(Candidatos!B2:B1001,"?*",Candidatos!F2:F1001,AA183)</f>
        <v/>
      </c>
    </row>
    <row r="184">
      <c r="AA184" s="17" t="inlineStr">
        <is>
          <t>NG</t>
        </is>
      </c>
      <c r="AB184" s="17">
        <f>COUNTIFS(Candidatos!B2:B1001,"?*",Candidatos!F2:F1001,AA184)</f>
        <v/>
      </c>
    </row>
    <row r="185">
      <c r="AA185" s="17" t="inlineStr">
        <is>
          <t>NI</t>
        </is>
      </c>
      <c r="AB185" s="17">
        <f>COUNTIFS(Candidatos!B2:B1001,"?*",Candidatos!F2:F1001,AA185)</f>
        <v/>
      </c>
    </row>
    <row r="186">
      <c r="AA186" s="17" t="inlineStr">
        <is>
          <t>NL</t>
        </is>
      </c>
      <c r="AB186" s="17">
        <f>COUNTIFS(Candidatos!B2:B1001,"?*",Candidatos!F2:F1001,AA186)</f>
        <v/>
      </c>
    </row>
    <row r="187">
      <c r="AA187" s="17" t="inlineStr">
        <is>
          <t>NO</t>
        </is>
      </c>
      <c r="AB187" s="17">
        <f>COUNTIFS(Candidatos!B2:B1001,"?*",Candidatos!F2:F1001,AA187)</f>
        <v/>
      </c>
    </row>
    <row r="188">
      <c r="AA188" s="17" t="inlineStr">
        <is>
          <t>NP</t>
        </is>
      </c>
      <c r="AB188" s="17">
        <f>COUNTIFS(Candidatos!B2:B1001,"?*",Candidatos!F2:F1001,AA188)</f>
        <v/>
      </c>
    </row>
    <row r="189">
      <c r="AA189" s="17" t="inlineStr">
        <is>
          <t>NR</t>
        </is>
      </c>
      <c r="AB189" s="17">
        <f>COUNTIFS(Candidatos!B2:B1001,"?*",Candidatos!F2:F1001,AA189)</f>
        <v/>
      </c>
    </row>
    <row r="190">
      <c r="AA190" s="17" t="inlineStr">
        <is>
          <t>NU</t>
        </is>
      </c>
      <c r="AB190" s="17">
        <f>COUNTIFS(Candidatos!B2:B1001,"?*",Candidatos!F2:F1001,AA190)</f>
        <v/>
      </c>
    </row>
    <row r="191">
      <c r="AA191" s="17" t="inlineStr">
        <is>
          <t>NZ</t>
        </is>
      </c>
      <c r="AB191" s="17">
        <f>COUNTIFS(Candidatos!B2:B1001,"?*",Candidatos!F2:F1001,AA191)</f>
        <v/>
      </c>
    </row>
    <row r="192">
      <c r="AA192" s="17" t="inlineStr">
        <is>
          <t>OM</t>
        </is>
      </c>
      <c r="AB192" s="17">
        <f>COUNTIFS(Candidatos!B2:B1001,"?*",Candidatos!F2:F1001,AA192)</f>
        <v/>
      </c>
    </row>
    <row r="193">
      <c r="AA193" s="17" t="inlineStr">
        <is>
          <t>PF</t>
        </is>
      </c>
      <c r="AB193" s="17">
        <f>COUNTIFS(Candidatos!B2:B1001,"?*",Candidatos!F2:F1001,AA193)</f>
        <v/>
      </c>
    </row>
    <row r="194">
      <c r="AA194" s="17" t="inlineStr">
        <is>
          <t>PG</t>
        </is>
      </c>
      <c r="AB194" s="17">
        <f>COUNTIFS(Candidatos!B2:B1001,"?*",Candidatos!F2:F1001,AA194)</f>
        <v/>
      </c>
    </row>
    <row r="195">
      <c r="AA195" s="17" t="inlineStr">
        <is>
          <t>PH</t>
        </is>
      </c>
      <c r="AB195" s="17">
        <f>COUNTIFS(Candidatos!B2:B1001,"?*",Candidatos!F2:F1001,AA195)</f>
        <v/>
      </c>
    </row>
    <row r="196">
      <c r="AA196" s="17" t="inlineStr">
        <is>
          <t>PK</t>
        </is>
      </c>
      <c r="AB196" s="17">
        <f>COUNTIFS(Candidatos!B2:B1001,"?*",Candidatos!F2:F1001,AA196)</f>
        <v/>
      </c>
    </row>
    <row r="197">
      <c r="AA197" s="17" t="inlineStr">
        <is>
          <t>PL</t>
        </is>
      </c>
      <c r="AB197" s="17">
        <f>COUNTIFS(Candidatos!B2:B1001,"?*",Candidatos!F2:F1001,AA197)</f>
        <v/>
      </c>
    </row>
    <row r="198">
      <c r="AA198" s="17" t="inlineStr">
        <is>
          <t>PM</t>
        </is>
      </c>
      <c r="AB198" s="17">
        <f>COUNTIFS(Candidatos!B2:B1001,"?*",Candidatos!F2:F1001,AA198)</f>
        <v/>
      </c>
    </row>
    <row r="199">
      <c r="AA199" s="17" t="inlineStr">
        <is>
          <t>PN</t>
        </is>
      </c>
      <c r="AB199" s="17">
        <f>COUNTIFS(Candidatos!B2:B1001,"?*",Candidatos!F2:F1001,AA199)</f>
        <v/>
      </c>
    </row>
    <row r="200">
      <c r="AA200" s="17" t="inlineStr">
        <is>
          <t>PS</t>
        </is>
      </c>
      <c r="AB200" s="17">
        <f>COUNTIFS(Candidatos!B2:B1001,"?*",Candidatos!F2:F1001,AA200)</f>
        <v/>
      </c>
    </row>
    <row r="201">
      <c r="AA201" s="17" t="inlineStr">
        <is>
          <t>PT</t>
        </is>
      </c>
      <c r="AB201" s="17">
        <f>COUNTIFS(Candidatos!B2:B1001,"?*",Candidatos!F2:F1001,AA201)</f>
        <v/>
      </c>
    </row>
    <row r="202">
      <c r="AA202" s="17" t="inlineStr">
        <is>
          <t>PW</t>
        </is>
      </c>
      <c r="AB202" s="17">
        <f>COUNTIFS(Candidatos!B2:B1001,"?*",Candidatos!F2:F1001,AA202)</f>
        <v/>
      </c>
    </row>
    <row r="203">
      <c r="AA203" s="17" t="inlineStr">
        <is>
          <t>PY</t>
        </is>
      </c>
      <c r="AB203" s="17">
        <f>COUNTIFS(Candidatos!B2:B1001,"?*",Candidatos!F2:F1001,AA203)</f>
        <v/>
      </c>
    </row>
    <row r="204">
      <c r="AA204" s="17" t="inlineStr">
        <is>
          <t>QA</t>
        </is>
      </c>
      <c r="AB204" s="17">
        <f>COUNTIFS(Candidatos!B2:B1001,"?*",Candidatos!F2:F1001,AA204)</f>
        <v/>
      </c>
    </row>
    <row r="205">
      <c r="AA205" s="17" t="inlineStr">
        <is>
          <t>RE</t>
        </is>
      </c>
      <c r="AB205" s="17">
        <f>COUNTIFS(Candidatos!B2:B1001,"?*",Candidatos!F2:F1001,AA205)</f>
        <v/>
      </c>
    </row>
    <row r="206">
      <c r="AA206" s="17" t="inlineStr">
        <is>
          <t>RU</t>
        </is>
      </c>
      <c r="AB206" s="17">
        <f>COUNTIFS(Candidatos!B2:B1001,"?*",Candidatos!F2:F1001,AA206)</f>
        <v/>
      </c>
    </row>
    <row r="207">
      <c r="AA207" s="17" t="inlineStr">
        <is>
          <t>RW</t>
        </is>
      </c>
      <c r="AB207" s="17">
        <f>COUNTIFS(Candidatos!B2:B1001,"?*",Candidatos!F2:F1001,AA207)</f>
        <v/>
      </c>
    </row>
    <row r="208">
      <c r="AA208" s="17" t="inlineStr">
        <is>
          <t>SA</t>
        </is>
      </c>
      <c r="AB208" s="17">
        <f>COUNTIFS(Candidatos!B2:B1001,"?*",Candidatos!F2:F1001,AA208)</f>
        <v/>
      </c>
    </row>
    <row r="209">
      <c r="AA209" s="17" t="inlineStr">
        <is>
          <t>SB</t>
        </is>
      </c>
      <c r="AB209" s="17">
        <f>COUNTIFS(Candidatos!B2:B1001,"?*",Candidatos!F2:F1001,AA209)</f>
        <v/>
      </c>
    </row>
    <row r="210">
      <c r="AA210" s="17" t="inlineStr">
        <is>
          <t>SD</t>
        </is>
      </c>
      <c r="AB210" s="17">
        <f>COUNTIFS(Candidatos!B2:B1001,"?*",Candidatos!F2:F1001,AA210)</f>
        <v/>
      </c>
    </row>
    <row r="211">
      <c r="AA211" s="17" t="inlineStr">
        <is>
          <t>SG</t>
        </is>
      </c>
      <c r="AB211" s="17">
        <f>COUNTIFS(Candidatos!B2:B1001,"?*",Candidatos!F2:F1001,AA211)</f>
        <v/>
      </c>
    </row>
    <row r="212">
      <c r="AA212" s="17" t="inlineStr">
        <is>
          <t>SH</t>
        </is>
      </c>
      <c r="AB212" s="17">
        <f>COUNTIFS(Candidatos!B2:B1001,"?*",Candidatos!F2:F1001,AA212)</f>
        <v/>
      </c>
    </row>
    <row r="213">
      <c r="AA213" s="17" t="inlineStr">
        <is>
          <t>SI</t>
        </is>
      </c>
      <c r="AB213" s="17">
        <f>COUNTIFS(Candidatos!B2:B1001,"?*",Candidatos!F2:F1001,AA213)</f>
        <v/>
      </c>
    </row>
    <row r="214">
      <c r="AA214" s="17" t="inlineStr">
        <is>
          <t>SJ</t>
        </is>
      </c>
      <c r="AB214" s="17">
        <f>COUNTIFS(Candidatos!B2:B1001,"?*",Candidatos!F2:F1001,AA214)</f>
        <v/>
      </c>
    </row>
    <row r="215">
      <c r="AA215" s="17" t="inlineStr">
        <is>
          <t>SK</t>
        </is>
      </c>
      <c r="AB215" s="17">
        <f>COUNTIFS(Candidatos!B2:B1001,"?*",Candidatos!F2:F1001,AA215)</f>
        <v/>
      </c>
    </row>
    <row r="216">
      <c r="AA216" s="17" t="inlineStr">
        <is>
          <t>SL</t>
        </is>
      </c>
      <c r="AB216" s="17">
        <f>COUNTIFS(Candidatos!B2:B1001,"?*",Candidatos!F2:F1001,AA216)</f>
        <v/>
      </c>
    </row>
    <row r="217">
      <c r="AA217" s="17" t="inlineStr">
        <is>
          <t>SM</t>
        </is>
      </c>
      <c r="AB217" s="17">
        <f>COUNTIFS(Candidatos!B2:B1001,"?*",Candidatos!F2:F1001,AA217)</f>
        <v/>
      </c>
    </row>
    <row r="218">
      <c r="AA218" s="17" t="inlineStr">
        <is>
          <t>SN</t>
        </is>
      </c>
      <c r="AB218" s="17">
        <f>COUNTIFS(Candidatos!B2:B1001,"?*",Candidatos!F2:F1001,AA218)</f>
        <v/>
      </c>
    </row>
    <row r="219">
      <c r="AA219" s="17" t="inlineStr">
        <is>
          <t>SO</t>
        </is>
      </c>
      <c r="AB219" s="17">
        <f>COUNTIFS(Candidatos!B2:B1001,"?*",Candidatos!F2:F1001,AA219)</f>
        <v/>
      </c>
    </row>
    <row r="220">
      <c r="AA220" s="17" t="inlineStr">
        <is>
          <t>SR</t>
        </is>
      </c>
      <c r="AB220" s="17">
        <f>COUNTIFS(Candidatos!B2:B1001,"?*",Candidatos!F2:F1001,AA220)</f>
        <v/>
      </c>
    </row>
    <row r="221">
      <c r="AA221" s="17" t="inlineStr">
        <is>
          <t>SS</t>
        </is>
      </c>
      <c r="AB221" s="17">
        <f>COUNTIFS(Candidatos!B2:B1001,"?*",Candidatos!F2:F1001,AA221)</f>
        <v/>
      </c>
    </row>
    <row r="222">
      <c r="AA222" s="17" t="inlineStr">
        <is>
          <t>ST</t>
        </is>
      </c>
      <c r="AB222" s="17">
        <f>COUNTIFS(Candidatos!B2:B1001,"?*",Candidatos!F2:F1001,AA222)</f>
        <v/>
      </c>
    </row>
    <row r="223">
      <c r="AA223" s="17" t="inlineStr">
        <is>
          <t>SV</t>
        </is>
      </c>
      <c r="AB223" s="17">
        <f>COUNTIFS(Candidatos!B2:B1001,"?*",Candidatos!F2:F1001,AA223)</f>
        <v/>
      </c>
    </row>
    <row r="224">
      <c r="AA224" s="17" t="inlineStr">
        <is>
          <t>SX</t>
        </is>
      </c>
      <c r="AB224" s="17">
        <f>COUNTIFS(Candidatos!B2:B1001,"?*",Candidatos!F2:F1001,AA224)</f>
        <v/>
      </c>
    </row>
    <row r="225">
      <c r="AA225" s="17" t="inlineStr">
        <is>
          <t>SY</t>
        </is>
      </c>
      <c r="AB225" s="17">
        <f>COUNTIFS(Candidatos!B2:B1001,"?*",Candidatos!F2:F1001,AA225)</f>
        <v/>
      </c>
    </row>
    <row r="226">
      <c r="AA226" s="17" t="inlineStr">
        <is>
          <t>SZ</t>
        </is>
      </c>
      <c r="AB226" s="17">
        <f>COUNTIFS(Candidatos!B2:B1001,"?*",Candidatos!F2:F1001,AA226)</f>
        <v/>
      </c>
    </row>
    <row r="227">
      <c r="AA227" s="17" t="inlineStr">
        <is>
          <t>TC</t>
        </is>
      </c>
      <c r="AB227" s="17">
        <f>COUNTIFS(Candidatos!B2:B1001,"?*",Candidatos!F2:F1001,AA227)</f>
        <v/>
      </c>
    </row>
    <row r="228">
      <c r="AA228" s="17" t="inlineStr">
        <is>
          <t>TD</t>
        </is>
      </c>
      <c r="AB228" s="17">
        <f>COUNTIFS(Candidatos!B2:B1001,"?*",Candidatos!F2:F1001,AA228)</f>
        <v/>
      </c>
    </row>
    <row r="229">
      <c r="AA229" s="17" t="inlineStr">
        <is>
          <t>TF</t>
        </is>
      </c>
      <c r="AB229" s="17">
        <f>COUNTIFS(Candidatos!B2:B1001,"?*",Candidatos!F2:F1001,AA229)</f>
        <v/>
      </c>
    </row>
    <row r="230">
      <c r="AA230" s="17" t="inlineStr">
        <is>
          <t>TG</t>
        </is>
      </c>
      <c r="AB230" s="17">
        <f>COUNTIFS(Candidatos!B2:B1001,"?*",Candidatos!F2:F1001,AA230)</f>
        <v/>
      </c>
    </row>
    <row r="231">
      <c r="AA231" s="17" t="inlineStr">
        <is>
          <t>TH</t>
        </is>
      </c>
      <c r="AB231" s="17">
        <f>COUNTIFS(Candidatos!B2:B1001,"?*",Candidatos!F2:F1001,AA231)</f>
        <v/>
      </c>
    </row>
    <row r="232">
      <c r="AA232" s="17" t="inlineStr">
        <is>
          <t>TJ</t>
        </is>
      </c>
      <c r="AB232" s="17">
        <f>COUNTIFS(Candidatos!B2:B1001,"?*",Candidatos!F2:F1001,AA232)</f>
        <v/>
      </c>
    </row>
    <row r="233">
      <c r="AA233" s="17" t="inlineStr">
        <is>
          <t>TK</t>
        </is>
      </c>
      <c r="AB233" s="17">
        <f>COUNTIFS(Candidatos!B2:B1001,"?*",Candidatos!F2:F1001,AA233)</f>
        <v/>
      </c>
    </row>
    <row r="234">
      <c r="AA234" s="17" t="inlineStr">
        <is>
          <t>TL</t>
        </is>
      </c>
      <c r="AB234" s="17">
        <f>COUNTIFS(Candidatos!B2:B1001,"?*",Candidatos!F2:F1001,AA234)</f>
        <v/>
      </c>
    </row>
    <row r="235">
      <c r="AA235" s="17" t="inlineStr">
        <is>
          <t>TM</t>
        </is>
      </c>
      <c r="AB235" s="17">
        <f>COUNTIFS(Candidatos!B2:B1001,"?*",Candidatos!F2:F1001,AA235)</f>
        <v/>
      </c>
    </row>
    <row r="236">
      <c r="AA236" s="17" t="inlineStr">
        <is>
          <t>TN</t>
        </is>
      </c>
      <c r="AB236" s="17">
        <f>COUNTIFS(Candidatos!B2:B1001,"?*",Candidatos!F2:F1001,AA236)</f>
        <v/>
      </c>
    </row>
    <row r="237">
      <c r="AA237" s="17" t="inlineStr">
        <is>
          <t>TR</t>
        </is>
      </c>
      <c r="AB237" s="17">
        <f>COUNTIFS(Candidatos!B2:B1001,"?*",Candidatos!F2:F1001,AA237)</f>
        <v/>
      </c>
    </row>
    <row r="238">
      <c r="AA238" s="17" t="inlineStr">
        <is>
          <t>TT</t>
        </is>
      </c>
      <c r="AB238" s="17">
        <f>COUNTIFS(Candidatos!B2:B1001,"?*",Candidatos!F2:F1001,AA238)</f>
        <v/>
      </c>
    </row>
    <row r="239">
      <c r="AA239" s="17" t="inlineStr">
        <is>
          <t>TV</t>
        </is>
      </c>
      <c r="AB239" s="17">
        <f>COUNTIFS(Candidatos!B2:B1001,"?*",Candidatos!F2:F1001,AA239)</f>
        <v/>
      </c>
    </row>
    <row r="240">
      <c r="AA240" s="17" t="inlineStr">
        <is>
          <t>TW</t>
        </is>
      </c>
      <c r="AB240" s="17">
        <f>COUNTIFS(Candidatos!B2:B1001,"?*",Candidatos!F2:F1001,AA240)</f>
        <v/>
      </c>
    </row>
    <row r="241">
      <c r="AA241" s="17" t="inlineStr">
        <is>
          <t>TZ</t>
        </is>
      </c>
      <c r="AB241" s="17">
        <f>COUNTIFS(Candidatos!B2:B1001,"?*",Candidatos!F2:F1001,AA241)</f>
        <v/>
      </c>
    </row>
    <row r="242">
      <c r="AA242" s="17" t="inlineStr">
        <is>
          <t>UA</t>
        </is>
      </c>
      <c r="AB242" s="17">
        <f>COUNTIFS(Candidatos!B2:B1001,"?*",Candidatos!F2:F1001,AA242)</f>
        <v/>
      </c>
    </row>
    <row r="243">
      <c r="AA243" s="17" t="inlineStr">
        <is>
          <t>UG</t>
        </is>
      </c>
      <c r="AB243" s="17">
        <f>COUNTIFS(Candidatos!B2:B1001,"?*",Candidatos!F2:F1001,AA243)</f>
        <v/>
      </c>
    </row>
    <row r="244">
      <c r="AA244" s="17" t="inlineStr">
        <is>
          <t>UM</t>
        </is>
      </c>
      <c r="AB244" s="17">
        <f>COUNTIFS(Candidatos!B2:B1001,"?*",Candidatos!F2:F1001,AA244)</f>
        <v/>
      </c>
    </row>
    <row r="245">
      <c r="AA245" s="17" t="inlineStr">
        <is>
          <t>US</t>
        </is>
      </c>
      <c r="AB245" s="17">
        <f>COUNTIFS(Candidatos!B2:B1001,"?*",Candidatos!F2:F1001,AA245)</f>
        <v/>
      </c>
    </row>
    <row r="246">
      <c r="AA246" s="17" t="inlineStr">
        <is>
          <t>UY</t>
        </is>
      </c>
      <c r="AB246" s="17">
        <f>COUNTIFS(Candidatos!B2:B1001,"?*",Candidatos!F2:F1001,AA246)</f>
        <v/>
      </c>
    </row>
    <row r="247">
      <c r="AA247" s="17" t="inlineStr">
        <is>
          <t>UZ</t>
        </is>
      </c>
      <c r="AB247" s="17">
        <f>COUNTIFS(Candidatos!B2:B1001,"?*",Candidatos!F2:F1001,AA247)</f>
        <v/>
      </c>
    </row>
    <row r="248">
      <c r="AA248" s="17" t="inlineStr">
        <is>
          <t>VA</t>
        </is>
      </c>
      <c r="AB248" s="17">
        <f>COUNTIFS(Candidatos!B2:B1001,"?*",Candidatos!F2:F1001,AA248)</f>
        <v/>
      </c>
    </row>
    <row r="249">
      <c r="AA249" s="17" t="inlineStr">
        <is>
          <t>VC</t>
        </is>
      </c>
      <c r="AB249" s="17">
        <f>COUNTIFS(Candidatos!B2:B1001,"?*",Candidatos!F2:F1001,AA249)</f>
        <v/>
      </c>
    </row>
    <row r="250">
      <c r="AA250" s="17" t="inlineStr">
        <is>
          <t>VE</t>
        </is>
      </c>
      <c r="AB250" s="17">
        <f>COUNTIFS(Candidatos!B2:B1001,"?*",Candidatos!F2:F1001,AA250)</f>
        <v/>
      </c>
    </row>
    <row r="251">
      <c r="AA251" s="17" t="inlineStr">
        <is>
          <t>VG</t>
        </is>
      </c>
      <c r="AB251" s="17">
        <f>COUNTIFS(Candidatos!B2:B1001,"?*",Candidatos!F2:F1001,AA251)</f>
        <v/>
      </c>
    </row>
    <row r="252">
      <c r="AA252" s="17" t="inlineStr">
        <is>
          <t>VI</t>
        </is>
      </c>
      <c r="AB252" s="17">
        <f>COUNTIFS(Candidatos!B2:B1001,"?*",Candidatos!F2:F1001,AA252)</f>
        <v/>
      </c>
    </row>
    <row r="253">
      <c r="AA253" s="17" t="inlineStr">
        <is>
          <t>VN</t>
        </is>
      </c>
      <c r="AB253" s="17">
        <f>COUNTIFS(Candidatos!B2:B1001,"?*",Candidatos!F2:F1001,AA253)</f>
        <v/>
      </c>
    </row>
    <row r="254">
      <c r="AA254" s="17" t="inlineStr">
        <is>
          <t>VU</t>
        </is>
      </c>
      <c r="AB254" s="17">
        <f>COUNTIFS(Candidatos!B2:B1001,"?*",Candidatos!F2:F1001,AA254)</f>
        <v/>
      </c>
    </row>
    <row r="255">
      <c r="AA255" s="17" t="inlineStr">
        <is>
          <t>WF</t>
        </is>
      </c>
      <c r="AB255" s="17">
        <f>COUNTIFS(Candidatos!B2:B1001,"?*",Candidatos!F2:F1001,AA255)</f>
        <v/>
      </c>
    </row>
    <row r="256">
      <c r="AA256" s="17" t="inlineStr">
        <is>
          <t>WS</t>
        </is>
      </c>
      <c r="AB256" s="17">
        <f>COUNTIFS(Candidatos!B2:B1001,"?*",Candidatos!F2:F1001,AA256)</f>
        <v/>
      </c>
    </row>
    <row r="257">
      <c r="AA257" s="17" t="inlineStr">
        <is>
          <t>YE</t>
        </is>
      </c>
      <c r="AB257" s="17">
        <f>COUNTIFS(Candidatos!B2:B1001,"?*",Candidatos!F2:F1001,AA257)</f>
        <v/>
      </c>
    </row>
    <row r="258">
      <c r="AA258" s="17" t="inlineStr">
        <is>
          <t>YT</t>
        </is>
      </c>
      <c r="AB258" s="17">
        <f>COUNTIFS(Candidatos!B2:B1001,"?*",Candidatos!F2:F1001,AA258)</f>
        <v/>
      </c>
    </row>
    <row r="259">
      <c r="AA259" s="17" t="inlineStr">
        <is>
          <t>ZA</t>
        </is>
      </c>
      <c r="AB259" s="17">
        <f>COUNTIFS(Candidatos!B2:B1001,"?*",Candidatos!F2:F1001,AA259)</f>
        <v/>
      </c>
    </row>
    <row r="260">
      <c r="AA260" s="17" t="inlineStr">
        <is>
          <t>ZM</t>
        </is>
      </c>
      <c r="AB260" s="17">
        <f>COUNTIFS(Candidatos!B2:B1001,"?*",Candidatos!F2:F1001,AA260)</f>
        <v/>
      </c>
    </row>
  </sheetData>
  <mergeCells count="2">
    <mergeCell ref="A1:H1"/>
    <mergeCell ref="D16:H16"/>
  </mergeCells>
  <conditionalFormatting sqref="B17:B25">
    <cfRule type="colorScale" priority="1">
      <colorScale>
        <cfvo type="min"/>
        <cfvo type="percentile" val="50"/>
        <cfvo type="max"/>
        <color rgb="FFE8F5E9"/>
        <color rgb="FFA5D6A7"/>
        <color rgb="FF2E7D32"/>
      </colorScale>
    </cfRule>
  </conditionalFormatting>
  <conditionalFormatting sqref="J40:Y40">
    <cfRule type="colorScale" priority="2">
      <colorScale>
        <cfvo type="min"/>
        <cfvo type="percentile" val="50"/>
        <cfvo type="max"/>
        <color rgb="FFE8F5E9"/>
        <color rgb="FFA5D6A7"/>
        <color rgb="FF2E7D32"/>
      </colorScale>
    </cfRule>
  </conditionalFormatting>
  <conditionalFormatting sqref="J42:Y42">
    <cfRule type="colorScale" priority="3">
      <colorScale>
        <cfvo type="min"/>
        <cfvo type="percentile" val="50"/>
        <cfvo type="max"/>
        <color rgb="FFE8F5E9"/>
        <color rgb="FFA5D6A7"/>
        <color rgb="FF2E7D32"/>
      </colorScale>
    </cfRule>
  </conditionalFormatting>
  <conditionalFormatting sqref="J44:Y44">
    <cfRule type="colorScale" priority="4">
      <colorScale>
        <cfvo type="min"/>
        <cfvo type="percentile" val="50"/>
        <cfvo type="max"/>
        <color rgb="FFE8F5E9"/>
        <color rgb="FFA5D6A7"/>
        <color rgb="FF2E7D32"/>
      </colorScale>
    </cfRule>
  </conditionalFormatting>
  <conditionalFormatting sqref="J46:Y46">
    <cfRule type="colorScale" priority="5">
      <colorScale>
        <cfvo type="min"/>
        <cfvo type="percentile" val="50"/>
        <cfvo type="max"/>
        <color rgb="FFE8F5E9"/>
        <color rgb="FFA5D6A7"/>
        <color rgb="FF2E7D32"/>
      </colorScale>
    </cfRule>
  </conditionalFormatting>
  <conditionalFormatting sqref="J48:Y48">
    <cfRule type="colorScale" priority="6">
      <colorScale>
        <cfvo type="min"/>
        <cfvo type="percentile" val="50"/>
        <cfvo type="max"/>
        <color rgb="FFE8F5E9"/>
        <color rgb="FFA5D6A7"/>
        <color rgb="FF2E7D32"/>
      </colorScale>
    </cfRule>
  </conditionalFormatting>
  <conditionalFormatting sqref="J50:Y50">
    <cfRule type="colorScale" priority="7">
      <colorScale>
        <cfvo type="min"/>
        <cfvo type="percentile" val="50"/>
        <cfvo type="max"/>
        <color rgb="FFE8F5E9"/>
        <color rgb="FFA5D6A7"/>
        <color rgb="FF2E7D32"/>
      </colorScale>
    </cfRule>
  </conditionalFormatting>
  <conditionalFormatting sqref="J52:Y52">
    <cfRule type="colorScale" priority="8">
      <colorScale>
        <cfvo type="min"/>
        <cfvo type="percentile" val="50"/>
        <cfvo type="max"/>
        <color rgb="FFE8F5E9"/>
        <color rgb="FFA5D6A7"/>
        <color rgb="FF2E7D32"/>
      </colorScale>
    </cfRule>
  </conditionalFormatting>
  <conditionalFormatting sqref="J54:Y54">
    <cfRule type="colorScale" priority="9">
      <colorScale>
        <cfvo type="min"/>
        <cfvo type="percentile" val="50"/>
        <cfvo type="max"/>
        <color rgb="FFE8F5E9"/>
        <color rgb="FFA5D6A7"/>
        <color rgb="FF2E7D32"/>
      </colorScale>
    </cfRule>
  </conditionalFormatting>
  <conditionalFormatting sqref="J56:Y56">
    <cfRule type="colorScale" priority="10">
      <colorScale>
        <cfvo type="min"/>
        <cfvo type="percentile" val="50"/>
        <cfvo type="max"/>
        <color rgb="FFE8F5E9"/>
        <color rgb="FFA5D6A7"/>
        <color rgb="FF2E7D32"/>
      </colorScale>
    </cfRule>
  </conditionalFormatting>
  <conditionalFormatting sqref="J58:Y58">
    <cfRule type="colorScale" priority="11">
      <colorScale>
        <cfvo type="min"/>
        <cfvo type="percentile" val="50"/>
        <cfvo type="max"/>
        <color rgb="FFE8F5E9"/>
        <color rgb="FFA5D6A7"/>
        <color rgb="FF2E7D32"/>
      </colorScale>
    </cfRule>
  </conditionalFormatting>
  <conditionalFormatting sqref="J60:Y60">
    <cfRule type="colorScale" priority="12">
      <colorScale>
        <cfvo type="min"/>
        <cfvo type="percentile" val="50"/>
        <cfvo type="max"/>
        <color rgb="FFE8F5E9"/>
        <color rgb="FFA5D6A7"/>
        <color rgb="FF2E7D32"/>
      </colorScale>
    </cfRule>
  </conditionalFormatting>
  <conditionalFormatting sqref="J62:Y62">
    <cfRule type="colorScale" priority="13">
      <colorScale>
        <cfvo type="min"/>
        <cfvo type="percentile" val="50"/>
        <cfvo type="max"/>
        <color rgb="FFE8F5E9"/>
        <color rgb="FFA5D6A7"/>
        <color rgb="FF2E7D32"/>
      </colorScale>
    </cfRule>
  </conditionalFormatting>
  <conditionalFormatting sqref="J64:Y64">
    <cfRule type="colorScale" priority="14">
      <colorScale>
        <cfvo type="min"/>
        <cfvo type="percentile" val="50"/>
        <cfvo type="max"/>
        <color rgb="FFE8F5E9"/>
        <color rgb="FFA5D6A7"/>
        <color rgb="FF2E7D32"/>
      </colorScale>
    </cfRule>
  </conditionalFormatting>
  <conditionalFormatting sqref="J66:Y66">
    <cfRule type="colorScale" priority="15">
      <colorScale>
        <cfvo type="min"/>
        <cfvo type="percentile" val="50"/>
        <cfvo type="max"/>
        <color rgb="FFE8F5E9"/>
        <color rgb="FFA5D6A7"/>
        <color rgb="FF2E7D32"/>
      </colorScale>
    </cfRule>
  </conditionalFormatting>
  <conditionalFormatting sqref="J68:Y68">
    <cfRule type="colorScale" priority="16">
      <colorScale>
        <cfvo type="min"/>
        <cfvo type="percentile" val="50"/>
        <cfvo type="max"/>
        <color rgb="FFE8F5E9"/>
        <color rgb="FFA5D6A7"/>
        <color rgb="FF2E7D32"/>
      </colorScale>
    </cfRule>
  </conditionalFormatting>
  <conditionalFormatting sqref="J70:Y70">
    <cfRule type="colorScale" priority="17">
      <colorScale>
        <cfvo type="min"/>
        <cfvo type="percentile" val="50"/>
        <cfvo type="max"/>
        <color rgb="FFE8F5E9"/>
        <color rgb="FFA5D6A7"/>
        <color rgb="FF2E7D32"/>
      </colorScale>
    </cfRule>
  </conditionalFormatting>
  <conditionalFormatting sqref="J72:Y72">
    <cfRule type="colorScale" priority="18">
      <colorScale>
        <cfvo type="min"/>
        <cfvo type="percentile" val="50"/>
        <cfvo type="max"/>
        <color rgb="FFE8F5E9"/>
        <color rgb="FFA5D6A7"/>
        <color rgb="FF2E7D32"/>
      </colorScale>
    </cfRule>
  </conditionalFormatting>
  <conditionalFormatting sqref="J74:Y74">
    <cfRule type="colorScale" priority="19">
      <colorScale>
        <cfvo type="min"/>
        <cfvo type="percentile" val="50"/>
        <cfvo type="max"/>
        <color rgb="FFE8F5E9"/>
        <color rgb="FFA5D6A7"/>
        <color rgb="FF2E7D32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01"/>
  <sheetViews>
    <sheetView workbookViewId="0">
      <selection activeCell="A1" sqref="A1"/>
    </sheetView>
  </sheetViews>
  <sheetFormatPr baseColWidth="8" defaultRowHeight="15"/>
  <cols>
    <col width="8" customWidth="1" style="72" min="1" max="1"/>
    <col width="28" customWidth="1" style="72" min="2" max="2"/>
    <col width="14" customWidth="1" style="72" min="3" max="3"/>
    <col width="28" customWidth="1" style="72" min="4" max="4"/>
    <col width="18" customWidth="1" style="72" min="5" max="5"/>
    <col width="12" customWidth="1" style="72" min="6" max="6"/>
    <col width="14" customWidth="1" style="72" min="7" max="7"/>
    <col width="16" customWidth="1" style="72" min="8" max="8"/>
    <col width="18" customWidth="1" style="72" min="9" max="9"/>
    <col width="14" customWidth="1" style="72" min="10" max="10"/>
    <col width="14" customWidth="1" style="72" min="11" max="11"/>
    <col width="15" customWidth="1" style="72" min="12" max="12"/>
    <col width="18" customWidth="1" style="72" min="13" max="13"/>
    <col width="24" customWidth="1" style="72" min="14" max="14"/>
    <col width="26" customWidth="1" style="72" min="15" max="15"/>
    <col width="16" customWidth="1" style="72" min="17" max="17"/>
    <col width="50" customWidth="1" style="72" min="18" max="18"/>
  </cols>
  <sheetData>
    <row r="1" ht="22" customHeight="1" s="72">
      <c r="A1" s="12" t="inlineStr">
        <is>
          <t>ID</t>
        </is>
      </c>
      <c r="B1" s="13" t="inlineStr">
        <is>
          <t>Nome do inscrito(a)</t>
        </is>
      </c>
      <c r="C1" s="13" t="inlineStr">
        <is>
          <t>Data de inscrição</t>
        </is>
      </c>
      <c r="D1" s="13" t="inlineStr">
        <is>
          <t>E-mail</t>
        </is>
      </c>
      <c r="E1" s="13" t="inlineStr">
        <is>
          <t>Contato</t>
        </is>
      </c>
      <c r="F1" s="13" t="inlineStr">
        <is>
          <t>Região</t>
        </is>
      </c>
      <c r="G1" s="13" t="inlineStr">
        <is>
          <t>Turma</t>
        </is>
      </c>
      <c r="H1" s="13" t="inlineStr">
        <is>
          <t>Idade</t>
        </is>
      </c>
      <c r="I1" s="13" t="inlineStr">
        <is>
          <t>Renda Familiar</t>
        </is>
      </c>
      <c r="J1" s="13" t="inlineStr">
        <is>
          <t>Equipe Example Organization</t>
        </is>
      </c>
      <c r="K1" s="13" t="inlineStr">
        <is>
          <t>Agendamento</t>
        </is>
      </c>
      <c r="L1" s="13" t="inlineStr">
        <is>
          <t>Status</t>
        </is>
      </c>
      <c r="M1" s="13" t="inlineStr">
        <is>
          <t>Motivo</t>
        </is>
      </c>
      <c r="N1" s="13" t="inlineStr">
        <is>
          <t>Comentários</t>
        </is>
      </c>
      <c r="O1" s="14" t="inlineStr">
        <is>
          <t>Pendências</t>
        </is>
      </c>
      <c r="Q1" s="26" t="inlineStr">
        <is>
          <t>Orientação</t>
        </is>
      </c>
      <c r="R1" s="27" t="inlineStr">
        <is>
          <t>Descrição</t>
        </is>
      </c>
    </row>
    <row r="2">
      <c r="A2" s="30">
        <f>IF(Database!B2="","",ROW()-1)</f>
        <v/>
      </c>
      <c r="B2" s="30">
        <f>IF(Database!B2="","",Database!B2)</f>
        <v/>
      </c>
      <c r="C2" s="87">
        <f>IF(Database!B2="","",Database!A2)</f>
        <v/>
      </c>
      <c r="D2" s="30">
        <f>IF(Database!B2="","",Database!D2)</f>
        <v/>
      </c>
      <c r="E2" s="30">
        <f>IF(Database!B2="","",Database!E2)</f>
        <v/>
      </c>
      <c r="F2" s="30">
        <f>IF(Database!B2="","",Database!F2)</f>
        <v/>
      </c>
      <c r="G2" s="30">
        <f>IF(Database!B2="","",Database!G2)</f>
        <v/>
      </c>
      <c r="H2" s="30">
        <f>IF(Database!B2="","",Database!C2)</f>
        <v/>
      </c>
      <c r="I2" s="30">
        <f>IF(Database!B2="","",Database!H2)</f>
        <v/>
      </c>
      <c r="J2" s="31" t="n"/>
      <c r="K2" s="88" t="n"/>
      <c r="L2" s="31" t="n"/>
      <c r="M2" s="31" t="n"/>
      <c r="N2" s="31" t="n"/>
      <c r="O2" s="32" t="n"/>
      <c r="Q2" s="17" t="inlineStr">
        <is>
          <t>Preenchimento</t>
        </is>
      </c>
      <c r="R2" s="17" t="inlineStr">
        <is>
          <t>Edite apenas a Equipe Example Organization na coluna J. A triagem é feita nas abas individuais.</t>
        </is>
      </c>
    </row>
    <row r="3">
      <c r="A3" s="30">
        <f>IF(Database!B3="","",ROW()-1)</f>
        <v/>
      </c>
      <c r="B3" s="30">
        <f>IF(Database!B3="","",Database!B3)</f>
        <v/>
      </c>
      <c r="C3" s="87">
        <f>IF(Database!B3="","",Database!A3)</f>
        <v/>
      </c>
      <c r="D3" s="30">
        <f>IF(Database!B3="","",Database!D3)</f>
        <v/>
      </c>
      <c r="E3" s="30">
        <f>IF(Database!B3="","",Database!E3)</f>
        <v/>
      </c>
      <c r="F3" s="30">
        <f>IF(Database!B3="","",Database!F3)</f>
        <v/>
      </c>
      <c r="G3" s="30">
        <f>IF(Database!B3="","",Database!G3)</f>
        <v/>
      </c>
      <c r="H3" s="30">
        <f>IF(Database!B3="","",Database!C3)</f>
        <v/>
      </c>
      <c r="I3" s="30">
        <f>IF(Database!B3="","",Database!H3)</f>
        <v/>
      </c>
      <c r="J3" s="31" t="n"/>
      <c r="K3" s="88" t="n"/>
      <c r="L3" s="31" t="n"/>
      <c r="M3" s="31" t="n"/>
      <c r="N3" s="31" t="n"/>
      <c r="O3" s="32" t="n"/>
      <c r="Q3" s="17" t="inlineStr">
        <is>
          <t>Equipe</t>
        </is>
      </c>
      <c r="R3" s="17" t="inlineStr">
        <is>
          <t>Ao escolher uma equipe, o candidato aparece na aba da pessoa.</t>
        </is>
      </c>
    </row>
    <row r="4">
      <c r="A4" s="30">
        <f>IF(Database!B4="","",ROW()-1)</f>
        <v/>
      </c>
      <c r="B4" s="30">
        <f>IF(Database!B4="","",Database!B4)</f>
        <v/>
      </c>
      <c r="C4" s="87">
        <f>IF(Database!B4="","",Database!A4)</f>
        <v/>
      </c>
      <c r="D4" s="30">
        <f>IF(Database!B4="","",Database!D4)</f>
        <v/>
      </c>
      <c r="E4" s="30">
        <f>IF(Database!B4="","",Database!E4)</f>
        <v/>
      </c>
      <c r="F4" s="30">
        <f>IF(Database!B4="","",Database!F4)</f>
        <v/>
      </c>
      <c r="G4" s="30">
        <f>IF(Database!B4="","",Database!G4)</f>
        <v/>
      </c>
      <c r="H4" s="30">
        <f>IF(Database!B4="","",Database!C4)</f>
        <v/>
      </c>
      <c r="I4" s="30">
        <f>IF(Database!B4="","",Database!H4)</f>
        <v/>
      </c>
      <c r="J4" s="31" t="n"/>
      <c r="K4" s="88" t="n"/>
      <c r="L4" s="31" t="n"/>
      <c r="M4" s="31" t="n"/>
      <c r="N4" s="31" t="n"/>
      <c r="O4" s="32" t="n"/>
      <c r="Q4" s="17" t="inlineStr">
        <is>
          <t>Triagem</t>
        </is>
      </c>
      <c r="R4" s="17" t="inlineStr">
        <is>
          <t>Agendamento, Status, Motivo e Comentários feitos pela equipe retornam automaticamente.</t>
        </is>
      </c>
    </row>
    <row r="5">
      <c r="A5" s="30">
        <f>IF(Database!B5="","",ROW()-1)</f>
        <v/>
      </c>
      <c r="B5" s="30">
        <f>IF(Database!B5="","",Database!B5)</f>
        <v/>
      </c>
      <c r="C5" s="87">
        <f>IF(Database!B5="","",Database!A5)</f>
        <v/>
      </c>
      <c r="D5" s="30">
        <f>IF(Database!B5="","",Database!D5)</f>
        <v/>
      </c>
      <c r="E5" s="30">
        <f>IF(Database!B5="","",Database!E5)</f>
        <v/>
      </c>
      <c r="F5" s="30">
        <f>IF(Database!B5="","",Database!F5)</f>
        <v/>
      </c>
      <c r="G5" s="30">
        <f>IF(Database!B5="","",Database!G5)</f>
        <v/>
      </c>
      <c r="H5" s="30">
        <f>IF(Database!B5="","",Database!C5)</f>
        <v/>
      </c>
      <c r="I5" s="30">
        <f>IF(Database!B5="","",Database!H5)</f>
        <v/>
      </c>
      <c r="J5" s="31" t="n"/>
      <c r="K5" s="88" t="n"/>
      <c r="L5" s="31" t="n"/>
      <c r="M5" s="31" t="n"/>
      <c r="N5" s="31" t="n"/>
      <c r="O5" s="32" t="n"/>
      <c r="Q5" s="17" t="inlineStr">
        <is>
          <t>Pendências</t>
        </is>
      </c>
      <c r="R5" s="17" t="inlineStr">
        <is>
          <t>A coluna O indica se faltou equipe, agendamento ou status.</t>
        </is>
      </c>
    </row>
    <row r="6">
      <c r="A6" s="30">
        <f>IF(Database!B6="","",ROW()-1)</f>
        <v/>
      </c>
      <c r="B6" s="30">
        <f>IF(Database!B6="","",Database!B6)</f>
        <v/>
      </c>
      <c r="C6" s="87">
        <f>IF(Database!B6="","",Database!A6)</f>
        <v/>
      </c>
      <c r="D6" s="30">
        <f>IF(Database!B6="","",Database!D6)</f>
        <v/>
      </c>
      <c r="E6" s="30">
        <f>IF(Database!B6="","",Database!E6)</f>
        <v/>
      </c>
      <c r="F6" s="30">
        <f>IF(Database!B6="","",Database!F6)</f>
        <v/>
      </c>
      <c r="G6" s="30">
        <f>IF(Database!B6="","",Database!G6)</f>
        <v/>
      </c>
      <c r="H6" s="30">
        <f>IF(Database!B6="","",Database!C6)</f>
        <v/>
      </c>
      <c r="I6" s="30">
        <f>IF(Database!B6="","",Database!H6)</f>
        <v/>
      </c>
      <c r="J6" s="31" t="n"/>
      <c r="K6" s="88" t="n"/>
      <c r="L6" s="31" t="n"/>
      <c r="M6" s="31" t="n"/>
      <c r="N6" s="31" t="n"/>
      <c r="O6" s="32" t="n"/>
    </row>
    <row r="7">
      <c r="A7" s="30">
        <f>IF(Database!B7="","",ROW()-1)</f>
        <v/>
      </c>
      <c r="B7" s="30">
        <f>IF(Database!B7="","",Database!B7)</f>
        <v/>
      </c>
      <c r="C7" s="87">
        <f>IF(Database!B7="","",Database!A7)</f>
        <v/>
      </c>
      <c r="D7" s="30">
        <f>IF(Database!B7="","",Database!D7)</f>
        <v/>
      </c>
      <c r="E7" s="30">
        <f>IF(Database!B7="","",Database!E7)</f>
        <v/>
      </c>
      <c r="F7" s="30">
        <f>IF(Database!B7="","",Database!F7)</f>
        <v/>
      </c>
      <c r="G7" s="30">
        <f>IF(Database!B7="","",Database!G7)</f>
        <v/>
      </c>
      <c r="H7" s="30">
        <f>IF(Database!B7="","",Database!C7)</f>
        <v/>
      </c>
      <c r="I7" s="30">
        <f>IF(Database!B7="","",Database!H7)</f>
        <v/>
      </c>
      <c r="J7" s="31" t="n"/>
      <c r="K7" s="88" t="n"/>
      <c r="L7" s="31" t="n"/>
      <c r="M7" s="31" t="n"/>
      <c r="N7" s="31" t="n"/>
      <c r="O7" s="32" t="n"/>
    </row>
    <row r="8">
      <c r="A8" s="30">
        <f>IF(Database!B8="","",ROW()-1)</f>
        <v/>
      </c>
      <c r="B8" s="30">
        <f>IF(Database!B8="","",Database!B8)</f>
        <v/>
      </c>
      <c r="C8" s="87">
        <f>IF(Database!B8="","",Database!A8)</f>
        <v/>
      </c>
      <c r="D8" s="30">
        <f>IF(Database!B8="","",Database!D8)</f>
        <v/>
      </c>
      <c r="E8" s="30">
        <f>IF(Database!B8="","",Database!E8)</f>
        <v/>
      </c>
      <c r="F8" s="30">
        <f>IF(Database!B8="","",Database!F8)</f>
        <v/>
      </c>
      <c r="G8" s="30">
        <f>IF(Database!B8="","",Database!G8)</f>
        <v/>
      </c>
      <c r="H8" s="30">
        <f>IF(Database!B8="","",Database!C8)</f>
        <v/>
      </c>
      <c r="I8" s="30">
        <f>IF(Database!B8="","",Database!H8)</f>
        <v/>
      </c>
      <c r="J8" s="31" t="n"/>
      <c r="K8" s="88" t="n"/>
      <c r="L8" s="31" t="n"/>
      <c r="M8" s="31" t="n"/>
      <c r="N8" s="31" t="n"/>
      <c r="O8" s="32" t="n"/>
    </row>
    <row r="9">
      <c r="A9" s="30">
        <f>IF(Database!B9="","",ROW()-1)</f>
        <v/>
      </c>
      <c r="B9" s="30">
        <f>IF(Database!B9="","",Database!B9)</f>
        <v/>
      </c>
      <c r="C9" s="87">
        <f>IF(Database!B9="","",Database!A9)</f>
        <v/>
      </c>
      <c r="D9" s="30">
        <f>IF(Database!B9="","",Database!D9)</f>
        <v/>
      </c>
      <c r="E9" s="30">
        <f>IF(Database!B9="","",Database!E9)</f>
        <v/>
      </c>
      <c r="F9" s="30">
        <f>IF(Database!B9="","",Database!F9)</f>
        <v/>
      </c>
      <c r="G9" s="30">
        <f>IF(Database!B9="","",Database!G9)</f>
        <v/>
      </c>
      <c r="H9" s="30">
        <f>IF(Database!B9="","",Database!C9)</f>
        <v/>
      </c>
      <c r="I9" s="30">
        <f>IF(Database!B9="","",Database!H9)</f>
        <v/>
      </c>
      <c r="J9" s="31" t="n"/>
      <c r="K9" s="88" t="n"/>
      <c r="L9" s="31" t="n"/>
      <c r="M9" s="31" t="n"/>
      <c r="N9" s="31" t="n"/>
      <c r="O9" s="32" t="n"/>
    </row>
    <row r="10">
      <c r="A10" s="30">
        <f>IF(Database!B10="","",ROW()-1)</f>
        <v/>
      </c>
      <c r="B10" s="30">
        <f>IF(Database!B10="","",Database!B10)</f>
        <v/>
      </c>
      <c r="C10" s="87">
        <f>IF(Database!B10="","",Database!A10)</f>
        <v/>
      </c>
      <c r="D10" s="30">
        <f>IF(Database!B10="","",Database!D10)</f>
        <v/>
      </c>
      <c r="E10" s="30">
        <f>IF(Database!B10="","",Database!E10)</f>
        <v/>
      </c>
      <c r="F10" s="30">
        <f>IF(Database!B10="","",Database!F10)</f>
        <v/>
      </c>
      <c r="G10" s="30">
        <f>IF(Database!B10="","",Database!G10)</f>
        <v/>
      </c>
      <c r="H10" s="30">
        <f>IF(Database!B10="","",Database!C10)</f>
        <v/>
      </c>
      <c r="I10" s="30">
        <f>IF(Database!B10="","",Database!H10)</f>
        <v/>
      </c>
      <c r="J10" s="31" t="n"/>
      <c r="K10" s="88" t="n"/>
      <c r="L10" s="31" t="n"/>
      <c r="M10" s="31" t="n"/>
      <c r="N10" s="31" t="n"/>
      <c r="O10" s="32" t="n"/>
    </row>
    <row r="11">
      <c r="A11" s="30">
        <f>IF(Database!B11="","",ROW()-1)</f>
        <v/>
      </c>
      <c r="B11" s="30">
        <f>IF(Database!B11="","",Database!B11)</f>
        <v/>
      </c>
      <c r="C11" s="87">
        <f>IF(Database!B11="","",Database!A11)</f>
        <v/>
      </c>
      <c r="D11" s="30">
        <f>IF(Database!B11="","",Database!D11)</f>
        <v/>
      </c>
      <c r="E11" s="30">
        <f>IF(Database!B11="","",Database!E11)</f>
        <v/>
      </c>
      <c r="F11" s="30">
        <f>IF(Database!B11="","",Database!F11)</f>
        <v/>
      </c>
      <c r="G11" s="30">
        <f>IF(Database!B11="","",Database!G11)</f>
        <v/>
      </c>
      <c r="H11" s="30">
        <f>IF(Database!B11="","",Database!C11)</f>
        <v/>
      </c>
      <c r="I11" s="30">
        <f>IF(Database!B11="","",Database!H11)</f>
        <v/>
      </c>
      <c r="J11" s="31" t="n"/>
      <c r="K11" s="88" t="n"/>
      <c r="L11" s="31" t="n"/>
      <c r="M11" s="31" t="n"/>
      <c r="N11" s="31" t="n"/>
      <c r="O11" s="32" t="n"/>
    </row>
    <row r="12">
      <c r="A12" s="30">
        <f>IF(Database!B12="","",ROW()-1)</f>
        <v/>
      </c>
      <c r="B12" s="30">
        <f>IF(Database!B12="","",Database!B12)</f>
        <v/>
      </c>
      <c r="C12" s="87">
        <f>IF(Database!B12="","",Database!A12)</f>
        <v/>
      </c>
      <c r="D12" s="30">
        <f>IF(Database!B12="","",Database!D12)</f>
        <v/>
      </c>
      <c r="E12" s="30">
        <f>IF(Database!B12="","",Database!E12)</f>
        <v/>
      </c>
      <c r="F12" s="30">
        <f>IF(Database!B12="","",Database!F12)</f>
        <v/>
      </c>
      <c r="G12" s="30">
        <f>IF(Database!B12="","",Database!G12)</f>
        <v/>
      </c>
      <c r="H12" s="30">
        <f>IF(Database!B12="","",Database!C12)</f>
        <v/>
      </c>
      <c r="I12" s="30">
        <f>IF(Database!B12="","",Database!H12)</f>
        <v/>
      </c>
      <c r="J12" s="31" t="n"/>
      <c r="K12" s="88" t="n"/>
      <c r="L12" s="31" t="n"/>
      <c r="M12" s="31" t="n"/>
      <c r="N12" s="31" t="n"/>
      <c r="O12" s="32" t="n"/>
    </row>
    <row r="13">
      <c r="A13" s="30">
        <f>IF(Database!B13="","",ROW()-1)</f>
        <v/>
      </c>
      <c r="B13" s="30">
        <f>IF(Database!B13="","",Database!B13)</f>
        <v/>
      </c>
      <c r="C13" s="87">
        <f>IF(Database!B13="","",Database!A13)</f>
        <v/>
      </c>
      <c r="D13" s="30">
        <f>IF(Database!B13="","",Database!D13)</f>
        <v/>
      </c>
      <c r="E13" s="30">
        <f>IF(Database!B13="","",Database!E13)</f>
        <v/>
      </c>
      <c r="F13" s="30">
        <f>IF(Database!B13="","",Database!F13)</f>
        <v/>
      </c>
      <c r="G13" s="30">
        <f>IF(Database!B13="","",Database!G13)</f>
        <v/>
      </c>
      <c r="H13" s="30">
        <f>IF(Database!B13="","",Database!C13)</f>
        <v/>
      </c>
      <c r="I13" s="30">
        <f>IF(Database!B13="","",Database!H13)</f>
        <v/>
      </c>
      <c r="J13" s="31" t="n"/>
      <c r="K13" s="88" t="n"/>
      <c r="L13" s="31" t="n"/>
      <c r="M13" s="31" t="n"/>
      <c r="N13" s="31" t="n"/>
      <c r="O13" s="32" t="n"/>
    </row>
    <row r="14">
      <c r="A14" s="30">
        <f>IF(Database!B14="","",ROW()-1)</f>
        <v/>
      </c>
      <c r="B14" s="30">
        <f>IF(Database!B14="","",Database!B14)</f>
        <v/>
      </c>
      <c r="C14" s="87">
        <f>IF(Database!B14="","",Database!A14)</f>
        <v/>
      </c>
      <c r="D14" s="30">
        <f>IF(Database!B14="","",Database!D14)</f>
        <v/>
      </c>
      <c r="E14" s="30">
        <f>IF(Database!B14="","",Database!E14)</f>
        <v/>
      </c>
      <c r="F14" s="30">
        <f>IF(Database!B14="","",Database!F14)</f>
        <v/>
      </c>
      <c r="G14" s="30">
        <f>IF(Database!B14="","",Database!G14)</f>
        <v/>
      </c>
      <c r="H14" s="30">
        <f>IF(Database!B14="","",Database!C14)</f>
        <v/>
      </c>
      <c r="I14" s="30">
        <f>IF(Database!B14="","",Database!H14)</f>
        <v/>
      </c>
      <c r="J14" s="31" t="n"/>
      <c r="K14" s="88" t="n"/>
      <c r="L14" s="31" t="n"/>
      <c r="M14" s="31" t="n"/>
      <c r="N14" s="31" t="n"/>
      <c r="O14" s="32" t="n"/>
    </row>
    <row r="15">
      <c r="A15" s="30">
        <f>IF(Database!B15="","",ROW()-1)</f>
        <v/>
      </c>
      <c r="B15" s="30">
        <f>IF(Database!B15="","",Database!B15)</f>
        <v/>
      </c>
      <c r="C15" s="87">
        <f>IF(Database!B15="","",Database!A15)</f>
        <v/>
      </c>
      <c r="D15" s="30">
        <f>IF(Database!B15="","",Database!D15)</f>
        <v/>
      </c>
      <c r="E15" s="30">
        <f>IF(Database!B15="","",Database!E15)</f>
        <v/>
      </c>
      <c r="F15" s="30">
        <f>IF(Database!B15="","",Database!F15)</f>
        <v/>
      </c>
      <c r="G15" s="30">
        <f>IF(Database!B15="","",Database!G15)</f>
        <v/>
      </c>
      <c r="H15" s="30">
        <f>IF(Database!B15="","",Database!C15)</f>
        <v/>
      </c>
      <c r="I15" s="30">
        <f>IF(Database!B15="","",Database!H15)</f>
        <v/>
      </c>
      <c r="J15" s="31" t="n"/>
      <c r="K15" s="88" t="n"/>
      <c r="L15" s="31" t="n"/>
      <c r="M15" s="31" t="n"/>
      <c r="N15" s="31" t="n"/>
      <c r="O15" s="32" t="n"/>
    </row>
    <row r="16">
      <c r="A16" s="30">
        <f>IF(Database!B16="","",ROW()-1)</f>
        <v/>
      </c>
      <c r="B16" s="30">
        <f>IF(Database!B16="","",Database!B16)</f>
        <v/>
      </c>
      <c r="C16" s="87">
        <f>IF(Database!B16="","",Database!A16)</f>
        <v/>
      </c>
      <c r="D16" s="30">
        <f>IF(Database!B16="","",Database!D16)</f>
        <v/>
      </c>
      <c r="E16" s="30">
        <f>IF(Database!B16="","",Database!E16)</f>
        <v/>
      </c>
      <c r="F16" s="30">
        <f>IF(Database!B16="","",Database!F16)</f>
        <v/>
      </c>
      <c r="G16" s="30">
        <f>IF(Database!B16="","",Database!G16)</f>
        <v/>
      </c>
      <c r="H16" s="30">
        <f>IF(Database!B16="","",Database!C16)</f>
        <v/>
      </c>
      <c r="I16" s="30">
        <f>IF(Database!B16="","",Database!H16)</f>
        <v/>
      </c>
      <c r="J16" s="31" t="n"/>
      <c r="K16" s="88" t="n"/>
      <c r="L16" s="31" t="n"/>
      <c r="M16" s="31" t="n"/>
      <c r="N16" s="31" t="n"/>
      <c r="O16" s="32" t="n"/>
    </row>
    <row r="17">
      <c r="A17" s="30">
        <f>IF(Database!B17="","",ROW()-1)</f>
        <v/>
      </c>
      <c r="B17" s="30">
        <f>IF(Database!B17="","",Database!B17)</f>
        <v/>
      </c>
      <c r="C17" s="87">
        <f>IF(Database!B17="","",Database!A17)</f>
        <v/>
      </c>
      <c r="D17" s="30">
        <f>IF(Database!B17="","",Database!D17)</f>
        <v/>
      </c>
      <c r="E17" s="30">
        <f>IF(Database!B17="","",Database!E17)</f>
        <v/>
      </c>
      <c r="F17" s="30">
        <f>IF(Database!B17="","",Database!F17)</f>
        <v/>
      </c>
      <c r="G17" s="30">
        <f>IF(Database!B17="","",Database!G17)</f>
        <v/>
      </c>
      <c r="H17" s="30">
        <f>IF(Database!B17="","",Database!C17)</f>
        <v/>
      </c>
      <c r="I17" s="30">
        <f>IF(Database!B17="","",Database!H17)</f>
        <v/>
      </c>
      <c r="J17" s="31" t="n"/>
      <c r="K17" s="88" t="n"/>
      <c r="L17" s="31" t="n"/>
      <c r="M17" s="31" t="n"/>
      <c r="N17" s="31" t="n"/>
      <c r="O17" s="32" t="n"/>
    </row>
    <row r="18">
      <c r="A18" s="30">
        <f>IF(Database!B18="","",ROW()-1)</f>
        <v/>
      </c>
      <c r="B18" s="30">
        <f>IF(Database!B18="","",Database!B18)</f>
        <v/>
      </c>
      <c r="C18" s="87">
        <f>IF(Database!B18="","",Database!A18)</f>
        <v/>
      </c>
      <c r="D18" s="30">
        <f>IF(Database!B18="","",Database!D18)</f>
        <v/>
      </c>
      <c r="E18" s="30">
        <f>IF(Database!B18="","",Database!E18)</f>
        <v/>
      </c>
      <c r="F18" s="30">
        <f>IF(Database!B18="","",Database!F18)</f>
        <v/>
      </c>
      <c r="G18" s="30">
        <f>IF(Database!B18="","",Database!G18)</f>
        <v/>
      </c>
      <c r="H18" s="30">
        <f>IF(Database!B18="","",Database!C18)</f>
        <v/>
      </c>
      <c r="I18" s="30">
        <f>IF(Database!B18="","",Database!H18)</f>
        <v/>
      </c>
      <c r="J18" s="31" t="n"/>
      <c r="K18" s="88" t="n"/>
      <c r="L18" s="31" t="n"/>
      <c r="M18" s="31" t="n"/>
      <c r="N18" s="31" t="n"/>
      <c r="O18" s="32" t="n"/>
    </row>
    <row r="19">
      <c r="A19" s="30">
        <f>IF(Database!B19="","",ROW()-1)</f>
        <v/>
      </c>
      <c r="B19" s="30">
        <f>IF(Database!B19="","",Database!B19)</f>
        <v/>
      </c>
      <c r="C19" s="87">
        <f>IF(Database!B19="","",Database!A19)</f>
        <v/>
      </c>
      <c r="D19" s="30">
        <f>IF(Database!B19="","",Database!D19)</f>
        <v/>
      </c>
      <c r="E19" s="30">
        <f>IF(Database!B19="","",Database!E19)</f>
        <v/>
      </c>
      <c r="F19" s="30">
        <f>IF(Database!B19="","",Database!F19)</f>
        <v/>
      </c>
      <c r="G19" s="30">
        <f>IF(Database!B19="","",Database!G19)</f>
        <v/>
      </c>
      <c r="H19" s="30">
        <f>IF(Database!B19="","",Database!C19)</f>
        <v/>
      </c>
      <c r="I19" s="30">
        <f>IF(Database!B19="","",Database!H19)</f>
        <v/>
      </c>
      <c r="J19" s="31" t="n"/>
      <c r="K19" s="88" t="n"/>
      <c r="L19" s="31" t="n"/>
      <c r="M19" s="31" t="n"/>
      <c r="N19" s="31" t="n"/>
      <c r="O19" s="32" t="n"/>
    </row>
    <row r="20">
      <c r="A20" s="30">
        <f>IF(Database!B20="","",ROW()-1)</f>
        <v/>
      </c>
      <c r="B20" s="30">
        <f>IF(Database!B20="","",Database!B20)</f>
        <v/>
      </c>
      <c r="C20" s="87">
        <f>IF(Database!B20="","",Database!A20)</f>
        <v/>
      </c>
      <c r="D20" s="30">
        <f>IF(Database!B20="","",Database!D20)</f>
        <v/>
      </c>
      <c r="E20" s="30">
        <f>IF(Database!B20="","",Database!E20)</f>
        <v/>
      </c>
      <c r="F20" s="30">
        <f>IF(Database!B20="","",Database!F20)</f>
        <v/>
      </c>
      <c r="G20" s="30">
        <f>IF(Database!B20="","",Database!G20)</f>
        <v/>
      </c>
      <c r="H20" s="30">
        <f>IF(Database!B20="","",Database!C20)</f>
        <v/>
      </c>
      <c r="I20" s="30">
        <f>IF(Database!B20="","",Database!H20)</f>
        <v/>
      </c>
      <c r="J20" s="31" t="n"/>
      <c r="K20" s="88" t="n"/>
      <c r="L20" s="31" t="n"/>
      <c r="M20" s="31" t="n"/>
      <c r="N20" s="31" t="n"/>
      <c r="O20" s="32" t="n"/>
    </row>
    <row r="21">
      <c r="A21" s="30">
        <f>IF(Database!B21="","",ROW()-1)</f>
        <v/>
      </c>
      <c r="B21" s="30">
        <f>IF(Database!B21="","",Database!B21)</f>
        <v/>
      </c>
      <c r="C21" s="87">
        <f>IF(Database!B21="","",Database!A21)</f>
        <v/>
      </c>
      <c r="D21" s="30">
        <f>IF(Database!B21="","",Database!D21)</f>
        <v/>
      </c>
      <c r="E21" s="30">
        <f>IF(Database!B21="","",Database!E21)</f>
        <v/>
      </c>
      <c r="F21" s="30">
        <f>IF(Database!B21="","",Database!F21)</f>
        <v/>
      </c>
      <c r="G21" s="30">
        <f>IF(Database!B21="","",Database!G21)</f>
        <v/>
      </c>
      <c r="H21" s="30">
        <f>IF(Database!B21="","",Database!C21)</f>
        <v/>
      </c>
      <c r="I21" s="30">
        <f>IF(Database!B21="","",Database!H21)</f>
        <v/>
      </c>
      <c r="J21" s="31" t="n"/>
      <c r="K21" s="88" t="n"/>
      <c r="L21" s="31" t="n"/>
      <c r="M21" s="31" t="n"/>
      <c r="N21" s="31" t="n"/>
      <c r="O21" s="32" t="n"/>
    </row>
    <row r="22">
      <c r="A22" s="30">
        <f>IF(Database!B22="","",ROW()-1)</f>
        <v/>
      </c>
      <c r="B22" s="30">
        <f>IF(Database!B22="","",Database!B22)</f>
        <v/>
      </c>
      <c r="C22" s="87">
        <f>IF(Database!B22="","",Database!A22)</f>
        <v/>
      </c>
      <c r="D22" s="30">
        <f>IF(Database!B22="","",Database!D22)</f>
        <v/>
      </c>
      <c r="E22" s="30">
        <f>IF(Database!B22="","",Database!E22)</f>
        <v/>
      </c>
      <c r="F22" s="30">
        <f>IF(Database!B22="","",Database!F22)</f>
        <v/>
      </c>
      <c r="G22" s="30">
        <f>IF(Database!B22="","",Database!G22)</f>
        <v/>
      </c>
      <c r="H22" s="30">
        <f>IF(Database!B22="","",Database!C22)</f>
        <v/>
      </c>
      <c r="I22" s="30">
        <f>IF(Database!B22="","",Database!H22)</f>
        <v/>
      </c>
      <c r="J22" s="31" t="n"/>
      <c r="K22" s="88" t="n"/>
      <c r="L22" s="31" t="n"/>
      <c r="M22" s="31" t="n"/>
      <c r="N22" s="31" t="n"/>
      <c r="O22" s="32" t="n"/>
    </row>
    <row r="23">
      <c r="A23" s="30">
        <f>IF(Database!B23="","",ROW()-1)</f>
        <v/>
      </c>
      <c r="B23" s="30">
        <f>IF(Database!B23="","",Database!B23)</f>
        <v/>
      </c>
      <c r="C23" s="87">
        <f>IF(Database!B23="","",Database!A23)</f>
        <v/>
      </c>
      <c r="D23" s="30">
        <f>IF(Database!B23="","",Database!D23)</f>
        <v/>
      </c>
      <c r="E23" s="30">
        <f>IF(Database!B23="","",Database!E23)</f>
        <v/>
      </c>
      <c r="F23" s="30">
        <f>IF(Database!B23="","",Database!F23)</f>
        <v/>
      </c>
      <c r="G23" s="30">
        <f>IF(Database!B23="","",Database!G23)</f>
        <v/>
      </c>
      <c r="H23" s="30">
        <f>IF(Database!B23="","",Database!C23)</f>
        <v/>
      </c>
      <c r="I23" s="30">
        <f>IF(Database!B23="","",Database!H23)</f>
        <v/>
      </c>
      <c r="J23" s="31" t="n"/>
      <c r="K23" s="88" t="n"/>
      <c r="L23" s="31" t="n"/>
      <c r="M23" s="31" t="n"/>
      <c r="N23" s="31" t="n"/>
      <c r="O23" s="32" t="n"/>
    </row>
    <row r="24">
      <c r="A24" s="30">
        <f>IF(Database!B24="","",ROW()-1)</f>
        <v/>
      </c>
      <c r="B24" s="30">
        <f>IF(Database!B24="","",Database!B24)</f>
        <v/>
      </c>
      <c r="C24" s="87">
        <f>IF(Database!B24="","",Database!A24)</f>
        <v/>
      </c>
      <c r="D24" s="30">
        <f>IF(Database!B24="","",Database!D24)</f>
        <v/>
      </c>
      <c r="E24" s="30">
        <f>IF(Database!B24="","",Database!E24)</f>
        <v/>
      </c>
      <c r="F24" s="30">
        <f>IF(Database!B24="","",Database!F24)</f>
        <v/>
      </c>
      <c r="G24" s="30">
        <f>IF(Database!B24="","",Database!G24)</f>
        <v/>
      </c>
      <c r="H24" s="30">
        <f>IF(Database!B24="","",Database!C24)</f>
        <v/>
      </c>
      <c r="I24" s="30">
        <f>IF(Database!B24="","",Database!H24)</f>
        <v/>
      </c>
      <c r="J24" s="31" t="n"/>
      <c r="K24" s="88" t="n"/>
      <c r="L24" s="31" t="n"/>
      <c r="M24" s="31" t="n"/>
      <c r="N24" s="31" t="n"/>
      <c r="O24" s="32" t="n"/>
    </row>
    <row r="25">
      <c r="A25" s="30">
        <f>IF(Database!B25="","",ROW()-1)</f>
        <v/>
      </c>
      <c r="B25" s="30">
        <f>IF(Database!B25="","",Database!B25)</f>
        <v/>
      </c>
      <c r="C25" s="87">
        <f>IF(Database!B25="","",Database!A25)</f>
        <v/>
      </c>
      <c r="D25" s="30">
        <f>IF(Database!B25="","",Database!D25)</f>
        <v/>
      </c>
      <c r="E25" s="30">
        <f>IF(Database!B25="","",Database!E25)</f>
        <v/>
      </c>
      <c r="F25" s="30">
        <f>IF(Database!B25="","",Database!F25)</f>
        <v/>
      </c>
      <c r="G25" s="30">
        <f>IF(Database!B25="","",Database!G25)</f>
        <v/>
      </c>
      <c r="H25" s="30">
        <f>IF(Database!B25="","",Database!C25)</f>
        <v/>
      </c>
      <c r="I25" s="30">
        <f>IF(Database!B25="","",Database!H25)</f>
        <v/>
      </c>
      <c r="J25" s="31" t="n"/>
      <c r="K25" s="88" t="n"/>
      <c r="L25" s="31" t="n"/>
      <c r="M25" s="31" t="n"/>
      <c r="N25" s="31" t="n"/>
      <c r="O25" s="32" t="n"/>
    </row>
    <row r="26">
      <c r="A26" s="30">
        <f>IF(Database!B26="","",ROW()-1)</f>
        <v/>
      </c>
      <c r="B26" s="30">
        <f>IF(Database!B26="","",Database!B26)</f>
        <v/>
      </c>
      <c r="C26" s="87">
        <f>IF(Database!B26="","",Database!A26)</f>
        <v/>
      </c>
      <c r="D26" s="30">
        <f>IF(Database!B26="","",Database!D26)</f>
        <v/>
      </c>
      <c r="E26" s="30">
        <f>IF(Database!B26="","",Database!E26)</f>
        <v/>
      </c>
      <c r="F26" s="30">
        <f>IF(Database!B26="","",Database!F26)</f>
        <v/>
      </c>
      <c r="G26" s="30">
        <f>IF(Database!B26="","",Database!G26)</f>
        <v/>
      </c>
      <c r="H26" s="30">
        <f>IF(Database!B26="","",Database!C26)</f>
        <v/>
      </c>
      <c r="I26" s="30">
        <f>IF(Database!B26="","",Database!H26)</f>
        <v/>
      </c>
      <c r="J26" s="31" t="n"/>
      <c r="K26" s="88" t="n"/>
      <c r="L26" s="31" t="n"/>
      <c r="M26" s="31" t="n"/>
      <c r="N26" s="31" t="n"/>
      <c r="O26" s="32" t="n"/>
    </row>
    <row r="27">
      <c r="A27" s="30">
        <f>IF(Database!B27="","",ROW()-1)</f>
        <v/>
      </c>
      <c r="B27" s="30">
        <f>IF(Database!B27="","",Database!B27)</f>
        <v/>
      </c>
      <c r="C27" s="87">
        <f>IF(Database!B27="","",Database!A27)</f>
        <v/>
      </c>
      <c r="D27" s="30">
        <f>IF(Database!B27="","",Database!D27)</f>
        <v/>
      </c>
      <c r="E27" s="30">
        <f>IF(Database!B27="","",Database!E27)</f>
        <v/>
      </c>
      <c r="F27" s="30">
        <f>IF(Database!B27="","",Database!F27)</f>
        <v/>
      </c>
      <c r="G27" s="30">
        <f>IF(Database!B27="","",Database!G27)</f>
        <v/>
      </c>
      <c r="H27" s="30">
        <f>IF(Database!B27="","",Database!C27)</f>
        <v/>
      </c>
      <c r="I27" s="30">
        <f>IF(Database!B27="","",Database!H27)</f>
        <v/>
      </c>
      <c r="J27" s="31" t="n"/>
      <c r="K27" s="88" t="n"/>
      <c r="L27" s="31" t="n"/>
      <c r="M27" s="31" t="n"/>
      <c r="N27" s="31" t="n"/>
      <c r="O27" s="32" t="n"/>
    </row>
    <row r="28">
      <c r="A28" s="30">
        <f>IF(Database!B28="","",ROW()-1)</f>
        <v/>
      </c>
      <c r="B28" s="30">
        <f>IF(Database!B28="","",Database!B28)</f>
        <v/>
      </c>
      <c r="C28" s="87">
        <f>IF(Database!B28="","",Database!A28)</f>
        <v/>
      </c>
      <c r="D28" s="30">
        <f>IF(Database!B28="","",Database!D28)</f>
        <v/>
      </c>
      <c r="E28" s="30">
        <f>IF(Database!B28="","",Database!E28)</f>
        <v/>
      </c>
      <c r="F28" s="30">
        <f>IF(Database!B28="","",Database!F28)</f>
        <v/>
      </c>
      <c r="G28" s="30">
        <f>IF(Database!B28="","",Database!G28)</f>
        <v/>
      </c>
      <c r="H28" s="30">
        <f>IF(Database!B28="","",Database!C28)</f>
        <v/>
      </c>
      <c r="I28" s="30">
        <f>IF(Database!B28="","",Database!H28)</f>
        <v/>
      </c>
      <c r="J28" s="31" t="n"/>
      <c r="K28" s="88" t="n"/>
      <c r="L28" s="31" t="n"/>
      <c r="M28" s="31" t="n"/>
      <c r="N28" s="31" t="n"/>
      <c r="O28" s="32" t="n"/>
    </row>
    <row r="29">
      <c r="A29" s="30">
        <f>IF(Database!B29="","",ROW()-1)</f>
        <v/>
      </c>
      <c r="B29" s="30">
        <f>IF(Database!B29="","",Database!B29)</f>
        <v/>
      </c>
      <c r="C29" s="87">
        <f>IF(Database!B29="","",Database!A29)</f>
        <v/>
      </c>
      <c r="D29" s="30">
        <f>IF(Database!B29="","",Database!D29)</f>
        <v/>
      </c>
      <c r="E29" s="30">
        <f>IF(Database!B29="","",Database!E29)</f>
        <v/>
      </c>
      <c r="F29" s="30">
        <f>IF(Database!B29="","",Database!F29)</f>
        <v/>
      </c>
      <c r="G29" s="30">
        <f>IF(Database!B29="","",Database!G29)</f>
        <v/>
      </c>
      <c r="H29" s="30">
        <f>IF(Database!B29="","",Database!C29)</f>
        <v/>
      </c>
      <c r="I29" s="30">
        <f>IF(Database!B29="","",Database!H29)</f>
        <v/>
      </c>
      <c r="J29" s="31" t="n"/>
      <c r="K29" s="88" t="n"/>
      <c r="L29" s="31" t="n"/>
      <c r="M29" s="31" t="n"/>
      <c r="N29" s="31" t="n"/>
      <c r="O29" s="32" t="n"/>
    </row>
    <row r="30">
      <c r="A30" s="30">
        <f>IF(Database!B30="","",ROW()-1)</f>
        <v/>
      </c>
      <c r="B30" s="30">
        <f>IF(Database!B30="","",Database!B30)</f>
        <v/>
      </c>
      <c r="C30" s="87">
        <f>IF(Database!B30="","",Database!A30)</f>
        <v/>
      </c>
      <c r="D30" s="30">
        <f>IF(Database!B30="","",Database!D30)</f>
        <v/>
      </c>
      <c r="E30" s="30">
        <f>IF(Database!B30="","",Database!E30)</f>
        <v/>
      </c>
      <c r="F30" s="30">
        <f>IF(Database!B30="","",Database!F30)</f>
        <v/>
      </c>
      <c r="G30" s="30">
        <f>IF(Database!B30="","",Database!G30)</f>
        <v/>
      </c>
      <c r="H30" s="30">
        <f>IF(Database!B30="","",Database!C30)</f>
        <v/>
      </c>
      <c r="I30" s="30">
        <f>IF(Database!B30="","",Database!H30)</f>
        <v/>
      </c>
      <c r="J30" s="31" t="n"/>
      <c r="K30" s="88" t="n"/>
      <c r="L30" s="31" t="n"/>
      <c r="M30" s="31" t="n"/>
      <c r="N30" s="31" t="n"/>
      <c r="O30" s="32" t="n"/>
    </row>
    <row r="31">
      <c r="A31" s="30">
        <f>IF(Database!B31="","",ROW()-1)</f>
        <v/>
      </c>
      <c r="B31" s="30">
        <f>IF(Database!B31="","",Database!B31)</f>
        <v/>
      </c>
      <c r="C31" s="87">
        <f>IF(Database!B31="","",Database!A31)</f>
        <v/>
      </c>
      <c r="D31" s="30">
        <f>IF(Database!B31="","",Database!D31)</f>
        <v/>
      </c>
      <c r="E31" s="30">
        <f>IF(Database!B31="","",Database!E31)</f>
        <v/>
      </c>
      <c r="F31" s="30">
        <f>IF(Database!B31="","",Database!F31)</f>
        <v/>
      </c>
      <c r="G31" s="30">
        <f>IF(Database!B31="","",Database!G31)</f>
        <v/>
      </c>
      <c r="H31" s="30">
        <f>IF(Database!B31="","",Database!C31)</f>
        <v/>
      </c>
      <c r="I31" s="30">
        <f>IF(Database!B31="","",Database!H31)</f>
        <v/>
      </c>
      <c r="J31" s="31" t="n"/>
      <c r="K31" s="88" t="n"/>
      <c r="L31" s="31" t="n"/>
      <c r="M31" s="31" t="n"/>
      <c r="N31" s="31" t="n"/>
      <c r="O31" s="32" t="n"/>
    </row>
    <row r="32">
      <c r="A32" s="30">
        <f>IF(Database!B32="","",ROW()-1)</f>
        <v/>
      </c>
      <c r="B32" s="30">
        <f>IF(Database!B32="","",Database!B32)</f>
        <v/>
      </c>
      <c r="C32" s="87">
        <f>IF(Database!B32="","",Database!A32)</f>
        <v/>
      </c>
      <c r="D32" s="30">
        <f>IF(Database!B32="","",Database!D32)</f>
        <v/>
      </c>
      <c r="E32" s="30">
        <f>IF(Database!B32="","",Database!E32)</f>
        <v/>
      </c>
      <c r="F32" s="30">
        <f>IF(Database!B32="","",Database!F32)</f>
        <v/>
      </c>
      <c r="G32" s="30">
        <f>IF(Database!B32="","",Database!G32)</f>
        <v/>
      </c>
      <c r="H32" s="30">
        <f>IF(Database!B32="","",Database!C32)</f>
        <v/>
      </c>
      <c r="I32" s="30">
        <f>IF(Database!B32="","",Database!H32)</f>
        <v/>
      </c>
      <c r="J32" s="31" t="n"/>
      <c r="K32" s="88" t="n"/>
      <c r="L32" s="31" t="n"/>
      <c r="M32" s="31" t="n"/>
      <c r="N32" s="31" t="n"/>
      <c r="O32" s="32" t="n"/>
    </row>
    <row r="33">
      <c r="A33" s="30">
        <f>IF(Database!B33="","",ROW()-1)</f>
        <v/>
      </c>
      <c r="B33" s="30">
        <f>IF(Database!B33="","",Database!B33)</f>
        <v/>
      </c>
      <c r="C33" s="87">
        <f>IF(Database!B33="","",Database!A33)</f>
        <v/>
      </c>
      <c r="D33" s="30">
        <f>IF(Database!B33="","",Database!D33)</f>
        <v/>
      </c>
      <c r="E33" s="30">
        <f>IF(Database!B33="","",Database!E33)</f>
        <v/>
      </c>
      <c r="F33" s="30">
        <f>IF(Database!B33="","",Database!F33)</f>
        <v/>
      </c>
      <c r="G33" s="30">
        <f>IF(Database!B33="","",Database!G33)</f>
        <v/>
      </c>
      <c r="H33" s="30">
        <f>IF(Database!B33="","",Database!C33)</f>
        <v/>
      </c>
      <c r="I33" s="30">
        <f>IF(Database!B33="","",Database!H33)</f>
        <v/>
      </c>
      <c r="J33" s="31" t="n"/>
      <c r="K33" s="88" t="n"/>
      <c r="L33" s="31" t="n"/>
      <c r="M33" s="31" t="n"/>
      <c r="N33" s="31" t="n"/>
      <c r="O33" s="32" t="n"/>
    </row>
    <row r="34">
      <c r="A34" s="30">
        <f>IF(Database!B34="","",ROW()-1)</f>
        <v/>
      </c>
      <c r="B34" s="30">
        <f>IF(Database!B34="","",Database!B34)</f>
        <v/>
      </c>
      <c r="C34" s="87">
        <f>IF(Database!B34="","",Database!A34)</f>
        <v/>
      </c>
      <c r="D34" s="30">
        <f>IF(Database!B34="","",Database!D34)</f>
        <v/>
      </c>
      <c r="E34" s="30">
        <f>IF(Database!B34="","",Database!E34)</f>
        <v/>
      </c>
      <c r="F34" s="30">
        <f>IF(Database!B34="","",Database!F34)</f>
        <v/>
      </c>
      <c r="G34" s="30">
        <f>IF(Database!B34="","",Database!G34)</f>
        <v/>
      </c>
      <c r="H34" s="30">
        <f>IF(Database!B34="","",Database!C34)</f>
        <v/>
      </c>
      <c r="I34" s="30">
        <f>IF(Database!B34="","",Database!H34)</f>
        <v/>
      </c>
      <c r="J34" s="31" t="n"/>
      <c r="K34" s="88" t="n"/>
      <c r="L34" s="31" t="n"/>
      <c r="M34" s="31" t="n"/>
      <c r="N34" s="31" t="n"/>
      <c r="O34" s="32" t="n"/>
    </row>
    <row r="35">
      <c r="A35" s="30">
        <f>IF(Database!B35="","",ROW()-1)</f>
        <v/>
      </c>
      <c r="B35" s="30">
        <f>IF(Database!B35="","",Database!B35)</f>
        <v/>
      </c>
      <c r="C35" s="87">
        <f>IF(Database!B35="","",Database!A35)</f>
        <v/>
      </c>
      <c r="D35" s="30">
        <f>IF(Database!B35="","",Database!D35)</f>
        <v/>
      </c>
      <c r="E35" s="30">
        <f>IF(Database!B35="","",Database!E35)</f>
        <v/>
      </c>
      <c r="F35" s="30">
        <f>IF(Database!B35="","",Database!F35)</f>
        <v/>
      </c>
      <c r="G35" s="30">
        <f>IF(Database!B35="","",Database!G35)</f>
        <v/>
      </c>
      <c r="H35" s="30">
        <f>IF(Database!B35="","",Database!C35)</f>
        <v/>
      </c>
      <c r="I35" s="30">
        <f>IF(Database!B35="","",Database!H35)</f>
        <v/>
      </c>
      <c r="J35" s="31" t="n"/>
      <c r="K35" s="88" t="n"/>
      <c r="L35" s="31" t="n"/>
      <c r="M35" s="31" t="n"/>
      <c r="N35" s="31" t="n"/>
      <c r="O35" s="32" t="n"/>
    </row>
    <row r="36">
      <c r="A36" s="30">
        <f>IF(Database!B36="","",ROW()-1)</f>
        <v/>
      </c>
      <c r="B36" s="30">
        <f>IF(Database!B36="","",Database!B36)</f>
        <v/>
      </c>
      <c r="C36" s="87">
        <f>IF(Database!B36="","",Database!A36)</f>
        <v/>
      </c>
      <c r="D36" s="30">
        <f>IF(Database!B36="","",Database!D36)</f>
        <v/>
      </c>
      <c r="E36" s="30">
        <f>IF(Database!B36="","",Database!E36)</f>
        <v/>
      </c>
      <c r="F36" s="30">
        <f>IF(Database!B36="","",Database!F36)</f>
        <v/>
      </c>
      <c r="G36" s="30">
        <f>IF(Database!B36="","",Database!G36)</f>
        <v/>
      </c>
      <c r="H36" s="30">
        <f>IF(Database!B36="","",Database!C36)</f>
        <v/>
      </c>
      <c r="I36" s="30">
        <f>IF(Database!B36="","",Database!H36)</f>
        <v/>
      </c>
      <c r="J36" s="31" t="n"/>
      <c r="K36" s="88" t="n"/>
      <c r="L36" s="31" t="n"/>
      <c r="M36" s="31" t="n"/>
      <c r="N36" s="31" t="n"/>
      <c r="O36" s="32" t="n"/>
    </row>
    <row r="37">
      <c r="A37" s="30">
        <f>IF(Database!B37="","",ROW()-1)</f>
        <v/>
      </c>
      <c r="B37" s="30">
        <f>IF(Database!B37="","",Database!B37)</f>
        <v/>
      </c>
      <c r="C37" s="87">
        <f>IF(Database!B37="","",Database!A37)</f>
        <v/>
      </c>
      <c r="D37" s="30">
        <f>IF(Database!B37="","",Database!D37)</f>
        <v/>
      </c>
      <c r="E37" s="30">
        <f>IF(Database!B37="","",Database!E37)</f>
        <v/>
      </c>
      <c r="F37" s="30">
        <f>IF(Database!B37="","",Database!F37)</f>
        <v/>
      </c>
      <c r="G37" s="30">
        <f>IF(Database!B37="","",Database!G37)</f>
        <v/>
      </c>
      <c r="H37" s="30">
        <f>IF(Database!B37="","",Database!C37)</f>
        <v/>
      </c>
      <c r="I37" s="30">
        <f>IF(Database!B37="","",Database!H37)</f>
        <v/>
      </c>
      <c r="J37" s="31" t="n"/>
      <c r="K37" s="88" t="n"/>
      <c r="L37" s="31" t="n"/>
      <c r="M37" s="31" t="n"/>
      <c r="N37" s="31" t="n"/>
      <c r="O37" s="32" t="n"/>
    </row>
    <row r="38">
      <c r="A38" s="30">
        <f>IF(Database!B38="","",ROW()-1)</f>
        <v/>
      </c>
      <c r="B38" s="30">
        <f>IF(Database!B38="","",Database!B38)</f>
        <v/>
      </c>
      <c r="C38" s="87">
        <f>IF(Database!B38="","",Database!A38)</f>
        <v/>
      </c>
      <c r="D38" s="30">
        <f>IF(Database!B38="","",Database!D38)</f>
        <v/>
      </c>
      <c r="E38" s="30">
        <f>IF(Database!B38="","",Database!E38)</f>
        <v/>
      </c>
      <c r="F38" s="30">
        <f>IF(Database!B38="","",Database!F38)</f>
        <v/>
      </c>
      <c r="G38" s="30">
        <f>IF(Database!B38="","",Database!G38)</f>
        <v/>
      </c>
      <c r="H38" s="30">
        <f>IF(Database!B38="","",Database!C38)</f>
        <v/>
      </c>
      <c r="I38" s="30">
        <f>IF(Database!B38="","",Database!H38)</f>
        <v/>
      </c>
      <c r="J38" s="31" t="n"/>
      <c r="K38" s="88" t="n"/>
      <c r="L38" s="31" t="n"/>
      <c r="M38" s="31" t="n"/>
      <c r="N38" s="31" t="n"/>
      <c r="O38" s="32" t="n"/>
    </row>
    <row r="39">
      <c r="A39" s="30">
        <f>IF(Database!B39="","",ROW()-1)</f>
        <v/>
      </c>
      <c r="B39" s="30">
        <f>IF(Database!B39="","",Database!B39)</f>
        <v/>
      </c>
      <c r="C39" s="87">
        <f>IF(Database!B39="","",Database!A39)</f>
        <v/>
      </c>
      <c r="D39" s="30">
        <f>IF(Database!B39="","",Database!D39)</f>
        <v/>
      </c>
      <c r="E39" s="30">
        <f>IF(Database!B39="","",Database!E39)</f>
        <v/>
      </c>
      <c r="F39" s="30">
        <f>IF(Database!B39="","",Database!F39)</f>
        <v/>
      </c>
      <c r="G39" s="30">
        <f>IF(Database!B39="","",Database!G39)</f>
        <v/>
      </c>
      <c r="H39" s="30">
        <f>IF(Database!B39="","",Database!C39)</f>
        <v/>
      </c>
      <c r="I39" s="30">
        <f>IF(Database!B39="","",Database!H39)</f>
        <v/>
      </c>
      <c r="J39" s="31" t="n"/>
      <c r="K39" s="88" t="n"/>
      <c r="L39" s="31" t="n"/>
      <c r="M39" s="31" t="n"/>
      <c r="N39" s="31" t="n"/>
      <c r="O39" s="32" t="n"/>
    </row>
    <row r="40">
      <c r="A40" s="30">
        <f>IF(Database!B40="","",ROW()-1)</f>
        <v/>
      </c>
      <c r="B40" s="30">
        <f>IF(Database!B40="","",Database!B40)</f>
        <v/>
      </c>
      <c r="C40" s="87">
        <f>IF(Database!B40="","",Database!A40)</f>
        <v/>
      </c>
      <c r="D40" s="30">
        <f>IF(Database!B40="","",Database!D40)</f>
        <v/>
      </c>
      <c r="E40" s="30">
        <f>IF(Database!B40="","",Database!E40)</f>
        <v/>
      </c>
      <c r="F40" s="30">
        <f>IF(Database!B40="","",Database!F40)</f>
        <v/>
      </c>
      <c r="G40" s="30">
        <f>IF(Database!B40="","",Database!G40)</f>
        <v/>
      </c>
      <c r="H40" s="30">
        <f>IF(Database!B40="","",Database!C40)</f>
        <v/>
      </c>
      <c r="I40" s="30">
        <f>IF(Database!B40="","",Database!H40)</f>
        <v/>
      </c>
      <c r="J40" s="31" t="n"/>
      <c r="K40" s="88" t="n"/>
      <c r="L40" s="31" t="n"/>
      <c r="M40" s="31" t="n"/>
      <c r="N40" s="31" t="n"/>
      <c r="O40" s="32" t="n"/>
    </row>
    <row r="41">
      <c r="A41" s="30">
        <f>IF(Database!B41="","",ROW()-1)</f>
        <v/>
      </c>
      <c r="B41" s="30">
        <f>IF(Database!B41="","",Database!B41)</f>
        <v/>
      </c>
      <c r="C41" s="87">
        <f>IF(Database!B41="","",Database!A41)</f>
        <v/>
      </c>
      <c r="D41" s="30">
        <f>IF(Database!B41="","",Database!D41)</f>
        <v/>
      </c>
      <c r="E41" s="30">
        <f>IF(Database!B41="","",Database!E41)</f>
        <v/>
      </c>
      <c r="F41" s="30">
        <f>IF(Database!B41="","",Database!F41)</f>
        <v/>
      </c>
      <c r="G41" s="30">
        <f>IF(Database!B41="","",Database!G41)</f>
        <v/>
      </c>
      <c r="H41" s="30">
        <f>IF(Database!B41="","",Database!C41)</f>
        <v/>
      </c>
      <c r="I41" s="30">
        <f>IF(Database!B41="","",Database!H41)</f>
        <v/>
      </c>
      <c r="J41" s="31" t="n"/>
      <c r="K41" s="88" t="n"/>
      <c r="L41" s="31" t="n"/>
      <c r="M41" s="31" t="n"/>
      <c r="N41" s="31" t="n"/>
      <c r="O41" s="32" t="n"/>
    </row>
    <row r="42">
      <c r="A42" s="30">
        <f>IF(Database!B42="","",ROW()-1)</f>
        <v/>
      </c>
      <c r="B42" s="30">
        <f>IF(Database!B42="","",Database!B42)</f>
        <v/>
      </c>
      <c r="C42" s="87">
        <f>IF(Database!B42="","",Database!A42)</f>
        <v/>
      </c>
      <c r="D42" s="30">
        <f>IF(Database!B42="","",Database!D42)</f>
        <v/>
      </c>
      <c r="E42" s="30">
        <f>IF(Database!B42="","",Database!E42)</f>
        <v/>
      </c>
      <c r="F42" s="30">
        <f>IF(Database!B42="","",Database!F42)</f>
        <v/>
      </c>
      <c r="G42" s="30">
        <f>IF(Database!B42="","",Database!G42)</f>
        <v/>
      </c>
      <c r="H42" s="30">
        <f>IF(Database!B42="","",Database!C42)</f>
        <v/>
      </c>
      <c r="I42" s="30">
        <f>IF(Database!B42="","",Database!H42)</f>
        <v/>
      </c>
      <c r="J42" s="31" t="n"/>
      <c r="K42" s="88" t="n"/>
      <c r="L42" s="31" t="n"/>
      <c r="M42" s="31" t="n"/>
      <c r="N42" s="31" t="n"/>
      <c r="O42" s="32" t="n"/>
    </row>
    <row r="43">
      <c r="A43" s="30">
        <f>IF(Database!B43="","",ROW()-1)</f>
        <v/>
      </c>
      <c r="B43" s="30">
        <f>IF(Database!B43="","",Database!B43)</f>
        <v/>
      </c>
      <c r="C43" s="87">
        <f>IF(Database!B43="","",Database!A43)</f>
        <v/>
      </c>
      <c r="D43" s="30">
        <f>IF(Database!B43="","",Database!D43)</f>
        <v/>
      </c>
      <c r="E43" s="30">
        <f>IF(Database!B43="","",Database!E43)</f>
        <v/>
      </c>
      <c r="F43" s="30">
        <f>IF(Database!B43="","",Database!F43)</f>
        <v/>
      </c>
      <c r="G43" s="30">
        <f>IF(Database!B43="","",Database!G43)</f>
        <v/>
      </c>
      <c r="H43" s="30">
        <f>IF(Database!B43="","",Database!C43)</f>
        <v/>
      </c>
      <c r="I43" s="30">
        <f>IF(Database!B43="","",Database!H43)</f>
        <v/>
      </c>
      <c r="J43" s="31" t="n"/>
      <c r="K43" s="88" t="n"/>
      <c r="L43" s="31" t="n"/>
      <c r="M43" s="31" t="n"/>
      <c r="N43" s="31" t="n"/>
      <c r="O43" s="32" t="n"/>
    </row>
    <row r="44">
      <c r="A44" s="30">
        <f>IF(Database!B44="","",ROW()-1)</f>
        <v/>
      </c>
      <c r="B44" s="30">
        <f>IF(Database!B44="","",Database!B44)</f>
        <v/>
      </c>
      <c r="C44" s="87">
        <f>IF(Database!B44="","",Database!A44)</f>
        <v/>
      </c>
      <c r="D44" s="30">
        <f>IF(Database!B44="","",Database!D44)</f>
        <v/>
      </c>
      <c r="E44" s="30">
        <f>IF(Database!B44="","",Database!E44)</f>
        <v/>
      </c>
      <c r="F44" s="30">
        <f>IF(Database!B44="","",Database!F44)</f>
        <v/>
      </c>
      <c r="G44" s="30">
        <f>IF(Database!B44="","",Database!G44)</f>
        <v/>
      </c>
      <c r="H44" s="30">
        <f>IF(Database!B44="","",Database!C44)</f>
        <v/>
      </c>
      <c r="I44" s="30">
        <f>IF(Database!B44="","",Database!H44)</f>
        <v/>
      </c>
      <c r="J44" s="31" t="n"/>
      <c r="K44" s="88" t="n"/>
      <c r="L44" s="31" t="n"/>
      <c r="M44" s="31" t="n"/>
      <c r="N44" s="31" t="n"/>
      <c r="O44" s="32" t="n"/>
    </row>
    <row r="45">
      <c r="A45" s="30">
        <f>IF(Database!B45="","",ROW()-1)</f>
        <v/>
      </c>
      <c r="B45" s="30">
        <f>IF(Database!B45="","",Database!B45)</f>
        <v/>
      </c>
      <c r="C45" s="87">
        <f>IF(Database!B45="","",Database!A45)</f>
        <v/>
      </c>
      <c r="D45" s="30">
        <f>IF(Database!B45="","",Database!D45)</f>
        <v/>
      </c>
      <c r="E45" s="30">
        <f>IF(Database!B45="","",Database!E45)</f>
        <v/>
      </c>
      <c r="F45" s="30">
        <f>IF(Database!B45="","",Database!F45)</f>
        <v/>
      </c>
      <c r="G45" s="30">
        <f>IF(Database!B45="","",Database!G45)</f>
        <v/>
      </c>
      <c r="H45" s="30">
        <f>IF(Database!B45="","",Database!C45)</f>
        <v/>
      </c>
      <c r="I45" s="30">
        <f>IF(Database!B45="","",Database!H45)</f>
        <v/>
      </c>
      <c r="J45" s="31" t="n"/>
      <c r="K45" s="88" t="n"/>
      <c r="L45" s="31" t="n"/>
      <c r="M45" s="31" t="n"/>
      <c r="N45" s="31" t="n"/>
      <c r="O45" s="32" t="n"/>
    </row>
    <row r="46">
      <c r="A46" s="30">
        <f>IF(Database!B46="","",ROW()-1)</f>
        <v/>
      </c>
      <c r="B46" s="30">
        <f>IF(Database!B46="","",Database!B46)</f>
        <v/>
      </c>
      <c r="C46" s="87">
        <f>IF(Database!B46="","",Database!A46)</f>
        <v/>
      </c>
      <c r="D46" s="30">
        <f>IF(Database!B46="","",Database!D46)</f>
        <v/>
      </c>
      <c r="E46" s="30">
        <f>IF(Database!B46="","",Database!E46)</f>
        <v/>
      </c>
      <c r="F46" s="30">
        <f>IF(Database!B46="","",Database!F46)</f>
        <v/>
      </c>
      <c r="G46" s="30">
        <f>IF(Database!B46="","",Database!G46)</f>
        <v/>
      </c>
      <c r="H46" s="30">
        <f>IF(Database!B46="","",Database!C46)</f>
        <v/>
      </c>
      <c r="I46" s="30">
        <f>IF(Database!B46="","",Database!H46)</f>
        <v/>
      </c>
      <c r="J46" s="31" t="n"/>
      <c r="K46" s="88" t="n"/>
      <c r="L46" s="31" t="n"/>
      <c r="M46" s="31" t="n"/>
      <c r="N46" s="31" t="n"/>
      <c r="O46" s="32" t="n"/>
    </row>
    <row r="47">
      <c r="A47" s="30">
        <f>IF(Database!B47="","",ROW()-1)</f>
        <v/>
      </c>
      <c r="B47" s="30">
        <f>IF(Database!B47="","",Database!B47)</f>
        <v/>
      </c>
      <c r="C47" s="87">
        <f>IF(Database!B47="","",Database!A47)</f>
        <v/>
      </c>
      <c r="D47" s="30">
        <f>IF(Database!B47="","",Database!D47)</f>
        <v/>
      </c>
      <c r="E47" s="30">
        <f>IF(Database!B47="","",Database!E47)</f>
        <v/>
      </c>
      <c r="F47" s="30">
        <f>IF(Database!B47="","",Database!F47)</f>
        <v/>
      </c>
      <c r="G47" s="30">
        <f>IF(Database!B47="","",Database!G47)</f>
        <v/>
      </c>
      <c r="H47" s="30">
        <f>IF(Database!B47="","",Database!C47)</f>
        <v/>
      </c>
      <c r="I47" s="30">
        <f>IF(Database!B47="","",Database!H47)</f>
        <v/>
      </c>
      <c r="J47" s="31" t="n"/>
      <c r="K47" s="88" t="n"/>
      <c r="L47" s="31" t="n"/>
      <c r="M47" s="31" t="n"/>
      <c r="N47" s="31" t="n"/>
      <c r="O47" s="32" t="n"/>
    </row>
    <row r="48">
      <c r="A48" s="30">
        <f>IF(Database!B48="","",ROW()-1)</f>
        <v/>
      </c>
      <c r="B48" s="30">
        <f>IF(Database!B48="","",Database!B48)</f>
        <v/>
      </c>
      <c r="C48" s="87">
        <f>IF(Database!B48="","",Database!A48)</f>
        <v/>
      </c>
      <c r="D48" s="30">
        <f>IF(Database!B48="","",Database!D48)</f>
        <v/>
      </c>
      <c r="E48" s="30">
        <f>IF(Database!B48="","",Database!E48)</f>
        <v/>
      </c>
      <c r="F48" s="30">
        <f>IF(Database!B48="","",Database!F48)</f>
        <v/>
      </c>
      <c r="G48" s="30">
        <f>IF(Database!B48="","",Database!G48)</f>
        <v/>
      </c>
      <c r="H48" s="30">
        <f>IF(Database!B48="","",Database!C48)</f>
        <v/>
      </c>
      <c r="I48" s="30">
        <f>IF(Database!B48="","",Database!H48)</f>
        <v/>
      </c>
      <c r="J48" s="31" t="n"/>
      <c r="K48" s="88" t="n"/>
      <c r="L48" s="31" t="n"/>
      <c r="M48" s="31" t="n"/>
      <c r="N48" s="31" t="n"/>
      <c r="O48" s="32" t="n"/>
    </row>
    <row r="49">
      <c r="A49" s="30">
        <f>IF(Database!B49="","",ROW()-1)</f>
        <v/>
      </c>
      <c r="B49" s="30">
        <f>IF(Database!B49="","",Database!B49)</f>
        <v/>
      </c>
      <c r="C49" s="87">
        <f>IF(Database!B49="","",Database!A49)</f>
        <v/>
      </c>
      <c r="D49" s="30">
        <f>IF(Database!B49="","",Database!D49)</f>
        <v/>
      </c>
      <c r="E49" s="30">
        <f>IF(Database!B49="","",Database!E49)</f>
        <v/>
      </c>
      <c r="F49" s="30">
        <f>IF(Database!B49="","",Database!F49)</f>
        <v/>
      </c>
      <c r="G49" s="30">
        <f>IF(Database!B49="","",Database!G49)</f>
        <v/>
      </c>
      <c r="H49" s="30">
        <f>IF(Database!B49="","",Database!C49)</f>
        <v/>
      </c>
      <c r="I49" s="30">
        <f>IF(Database!B49="","",Database!H49)</f>
        <v/>
      </c>
      <c r="J49" s="31" t="n"/>
      <c r="K49" s="88" t="n"/>
      <c r="L49" s="31" t="n"/>
      <c r="M49" s="31" t="n"/>
      <c r="N49" s="31" t="n"/>
      <c r="O49" s="32" t="n"/>
    </row>
    <row r="50">
      <c r="A50" s="30">
        <f>IF(Database!B50="","",ROW()-1)</f>
        <v/>
      </c>
      <c r="B50" s="30">
        <f>IF(Database!B50="","",Database!B50)</f>
        <v/>
      </c>
      <c r="C50" s="87">
        <f>IF(Database!B50="","",Database!A50)</f>
        <v/>
      </c>
      <c r="D50" s="30">
        <f>IF(Database!B50="","",Database!D50)</f>
        <v/>
      </c>
      <c r="E50" s="30">
        <f>IF(Database!B50="","",Database!E50)</f>
        <v/>
      </c>
      <c r="F50" s="30">
        <f>IF(Database!B50="","",Database!F50)</f>
        <v/>
      </c>
      <c r="G50" s="30">
        <f>IF(Database!B50="","",Database!G50)</f>
        <v/>
      </c>
      <c r="H50" s="30">
        <f>IF(Database!B50="","",Database!C50)</f>
        <v/>
      </c>
      <c r="I50" s="30">
        <f>IF(Database!B50="","",Database!H50)</f>
        <v/>
      </c>
      <c r="J50" s="31" t="n"/>
      <c r="K50" s="88" t="n"/>
      <c r="L50" s="31" t="n"/>
      <c r="M50" s="31" t="n"/>
      <c r="N50" s="31" t="n"/>
      <c r="O50" s="32" t="n"/>
    </row>
    <row r="51">
      <c r="A51" s="30">
        <f>IF(Database!B51="","",ROW()-1)</f>
        <v/>
      </c>
      <c r="B51" s="30">
        <f>IF(Database!B51="","",Database!B51)</f>
        <v/>
      </c>
      <c r="C51" s="87">
        <f>IF(Database!B51="","",Database!A51)</f>
        <v/>
      </c>
      <c r="D51" s="30">
        <f>IF(Database!B51="","",Database!D51)</f>
        <v/>
      </c>
      <c r="E51" s="30">
        <f>IF(Database!B51="","",Database!E51)</f>
        <v/>
      </c>
      <c r="F51" s="30">
        <f>IF(Database!B51="","",Database!F51)</f>
        <v/>
      </c>
      <c r="G51" s="30">
        <f>IF(Database!B51="","",Database!G51)</f>
        <v/>
      </c>
      <c r="H51" s="30">
        <f>IF(Database!B51="","",Database!C51)</f>
        <v/>
      </c>
      <c r="I51" s="30">
        <f>IF(Database!B51="","",Database!H51)</f>
        <v/>
      </c>
      <c r="J51" s="31" t="n"/>
      <c r="K51" s="88" t="n"/>
      <c r="L51" s="31" t="n"/>
      <c r="M51" s="31" t="n"/>
      <c r="N51" s="31" t="n"/>
      <c r="O51" s="32" t="n"/>
    </row>
    <row r="52">
      <c r="A52" s="30">
        <f>IF(Database!B52="","",ROW()-1)</f>
        <v/>
      </c>
      <c r="B52" s="30">
        <f>IF(Database!B52="","",Database!B52)</f>
        <v/>
      </c>
      <c r="C52" s="87">
        <f>IF(Database!B52="","",Database!A52)</f>
        <v/>
      </c>
      <c r="D52" s="30">
        <f>IF(Database!B52="","",Database!D52)</f>
        <v/>
      </c>
      <c r="E52" s="30">
        <f>IF(Database!B52="","",Database!E52)</f>
        <v/>
      </c>
      <c r="F52" s="30">
        <f>IF(Database!B52="","",Database!F52)</f>
        <v/>
      </c>
      <c r="G52" s="30">
        <f>IF(Database!B52="","",Database!G52)</f>
        <v/>
      </c>
      <c r="H52" s="30">
        <f>IF(Database!B52="","",Database!C52)</f>
        <v/>
      </c>
      <c r="I52" s="30">
        <f>IF(Database!B52="","",Database!H52)</f>
        <v/>
      </c>
      <c r="J52" s="31" t="n"/>
      <c r="K52" s="88" t="n"/>
      <c r="L52" s="31" t="n"/>
      <c r="M52" s="31" t="n"/>
      <c r="N52" s="31" t="n"/>
      <c r="O52" s="32" t="n"/>
    </row>
    <row r="53">
      <c r="A53" s="30">
        <f>IF(Database!B53="","",ROW()-1)</f>
        <v/>
      </c>
      <c r="B53" s="30">
        <f>IF(Database!B53="","",Database!B53)</f>
        <v/>
      </c>
      <c r="C53" s="87">
        <f>IF(Database!B53="","",Database!A53)</f>
        <v/>
      </c>
      <c r="D53" s="30">
        <f>IF(Database!B53="","",Database!D53)</f>
        <v/>
      </c>
      <c r="E53" s="30">
        <f>IF(Database!B53="","",Database!E53)</f>
        <v/>
      </c>
      <c r="F53" s="30">
        <f>IF(Database!B53="","",Database!F53)</f>
        <v/>
      </c>
      <c r="G53" s="30">
        <f>IF(Database!B53="","",Database!G53)</f>
        <v/>
      </c>
      <c r="H53" s="30">
        <f>IF(Database!B53="","",Database!C53)</f>
        <v/>
      </c>
      <c r="I53" s="30">
        <f>IF(Database!B53="","",Database!H53)</f>
        <v/>
      </c>
      <c r="J53" s="31" t="n"/>
      <c r="K53" s="88" t="n"/>
      <c r="L53" s="31" t="n"/>
      <c r="M53" s="31" t="n"/>
      <c r="N53" s="31" t="n"/>
      <c r="O53" s="32" t="n"/>
    </row>
    <row r="54">
      <c r="A54" s="30">
        <f>IF(Database!B54="","",ROW()-1)</f>
        <v/>
      </c>
      <c r="B54" s="30">
        <f>IF(Database!B54="","",Database!B54)</f>
        <v/>
      </c>
      <c r="C54" s="87">
        <f>IF(Database!B54="","",Database!A54)</f>
        <v/>
      </c>
      <c r="D54" s="30">
        <f>IF(Database!B54="","",Database!D54)</f>
        <v/>
      </c>
      <c r="E54" s="30">
        <f>IF(Database!B54="","",Database!E54)</f>
        <v/>
      </c>
      <c r="F54" s="30">
        <f>IF(Database!B54="","",Database!F54)</f>
        <v/>
      </c>
      <c r="G54" s="30">
        <f>IF(Database!B54="","",Database!G54)</f>
        <v/>
      </c>
      <c r="H54" s="30">
        <f>IF(Database!B54="","",Database!C54)</f>
        <v/>
      </c>
      <c r="I54" s="30">
        <f>IF(Database!B54="","",Database!H54)</f>
        <v/>
      </c>
      <c r="J54" s="31" t="n"/>
      <c r="K54" s="88" t="n"/>
      <c r="L54" s="31" t="n"/>
      <c r="M54" s="31" t="n"/>
      <c r="N54" s="31" t="n"/>
      <c r="O54" s="32" t="n"/>
    </row>
    <row r="55">
      <c r="A55" s="30">
        <f>IF(Database!B55="","",ROW()-1)</f>
        <v/>
      </c>
      <c r="B55" s="30">
        <f>IF(Database!B55="","",Database!B55)</f>
        <v/>
      </c>
      <c r="C55" s="87">
        <f>IF(Database!B55="","",Database!A55)</f>
        <v/>
      </c>
      <c r="D55" s="30">
        <f>IF(Database!B55="","",Database!D55)</f>
        <v/>
      </c>
      <c r="E55" s="30">
        <f>IF(Database!B55="","",Database!E55)</f>
        <v/>
      </c>
      <c r="F55" s="30">
        <f>IF(Database!B55="","",Database!F55)</f>
        <v/>
      </c>
      <c r="G55" s="30">
        <f>IF(Database!B55="","",Database!G55)</f>
        <v/>
      </c>
      <c r="H55" s="30">
        <f>IF(Database!B55="","",Database!C55)</f>
        <v/>
      </c>
      <c r="I55" s="30">
        <f>IF(Database!B55="","",Database!H55)</f>
        <v/>
      </c>
      <c r="J55" s="31" t="n"/>
      <c r="K55" s="88" t="n"/>
      <c r="L55" s="31" t="n"/>
      <c r="M55" s="31" t="n"/>
      <c r="N55" s="31" t="n"/>
      <c r="O55" s="32" t="n"/>
    </row>
    <row r="56">
      <c r="A56" s="30">
        <f>IF(Database!B56="","",ROW()-1)</f>
        <v/>
      </c>
      <c r="B56" s="30">
        <f>IF(Database!B56="","",Database!B56)</f>
        <v/>
      </c>
      <c r="C56" s="87">
        <f>IF(Database!B56="","",Database!A56)</f>
        <v/>
      </c>
      <c r="D56" s="30">
        <f>IF(Database!B56="","",Database!D56)</f>
        <v/>
      </c>
      <c r="E56" s="30">
        <f>IF(Database!B56="","",Database!E56)</f>
        <v/>
      </c>
      <c r="F56" s="30">
        <f>IF(Database!B56="","",Database!F56)</f>
        <v/>
      </c>
      <c r="G56" s="30">
        <f>IF(Database!B56="","",Database!G56)</f>
        <v/>
      </c>
      <c r="H56" s="30">
        <f>IF(Database!B56="","",Database!C56)</f>
        <v/>
      </c>
      <c r="I56" s="30">
        <f>IF(Database!B56="","",Database!H56)</f>
        <v/>
      </c>
      <c r="J56" s="31" t="n"/>
      <c r="K56" s="88" t="n"/>
      <c r="L56" s="31" t="n"/>
      <c r="M56" s="31" t="n"/>
      <c r="N56" s="31" t="n"/>
      <c r="O56" s="32" t="n"/>
    </row>
    <row r="57">
      <c r="A57" s="30">
        <f>IF(Database!B57="","",ROW()-1)</f>
        <v/>
      </c>
      <c r="B57" s="30">
        <f>IF(Database!B57="","",Database!B57)</f>
        <v/>
      </c>
      <c r="C57" s="87">
        <f>IF(Database!B57="","",Database!A57)</f>
        <v/>
      </c>
      <c r="D57" s="30">
        <f>IF(Database!B57="","",Database!D57)</f>
        <v/>
      </c>
      <c r="E57" s="30">
        <f>IF(Database!B57="","",Database!E57)</f>
        <v/>
      </c>
      <c r="F57" s="30">
        <f>IF(Database!B57="","",Database!F57)</f>
        <v/>
      </c>
      <c r="G57" s="30">
        <f>IF(Database!B57="","",Database!G57)</f>
        <v/>
      </c>
      <c r="H57" s="30">
        <f>IF(Database!B57="","",Database!C57)</f>
        <v/>
      </c>
      <c r="I57" s="30">
        <f>IF(Database!B57="","",Database!H57)</f>
        <v/>
      </c>
      <c r="J57" s="31" t="n"/>
      <c r="K57" s="88" t="n"/>
      <c r="L57" s="31" t="n"/>
      <c r="M57" s="31" t="n"/>
      <c r="N57" s="31" t="n"/>
      <c r="O57" s="32" t="n"/>
    </row>
    <row r="58">
      <c r="A58" s="30">
        <f>IF(Database!B58="","",ROW()-1)</f>
        <v/>
      </c>
      <c r="B58" s="30">
        <f>IF(Database!B58="","",Database!B58)</f>
        <v/>
      </c>
      <c r="C58" s="87">
        <f>IF(Database!B58="","",Database!A58)</f>
        <v/>
      </c>
      <c r="D58" s="30">
        <f>IF(Database!B58="","",Database!D58)</f>
        <v/>
      </c>
      <c r="E58" s="30">
        <f>IF(Database!B58="","",Database!E58)</f>
        <v/>
      </c>
      <c r="F58" s="30">
        <f>IF(Database!B58="","",Database!F58)</f>
        <v/>
      </c>
      <c r="G58" s="30">
        <f>IF(Database!B58="","",Database!G58)</f>
        <v/>
      </c>
      <c r="H58" s="30">
        <f>IF(Database!B58="","",Database!C58)</f>
        <v/>
      </c>
      <c r="I58" s="30">
        <f>IF(Database!B58="","",Database!H58)</f>
        <v/>
      </c>
      <c r="J58" s="31" t="n"/>
      <c r="K58" s="88" t="n"/>
      <c r="L58" s="31" t="n"/>
      <c r="M58" s="31" t="n"/>
      <c r="N58" s="31" t="n"/>
      <c r="O58" s="32" t="n"/>
    </row>
    <row r="59">
      <c r="A59" s="30">
        <f>IF(Database!B59="","",ROW()-1)</f>
        <v/>
      </c>
      <c r="B59" s="30">
        <f>IF(Database!B59="","",Database!B59)</f>
        <v/>
      </c>
      <c r="C59" s="87">
        <f>IF(Database!B59="","",Database!A59)</f>
        <v/>
      </c>
      <c r="D59" s="30">
        <f>IF(Database!B59="","",Database!D59)</f>
        <v/>
      </c>
      <c r="E59" s="30">
        <f>IF(Database!B59="","",Database!E59)</f>
        <v/>
      </c>
      <c r="F59" s="30">
        <f>IF(Database!B59="","",Database!F59)</f>
        <v/>
      </c>
      <c r="G59" s="30">
        <f>IF(Database!B59="","",Database!G59)</f>
        <v/>
      </c>
      <c r="H59" s="30">
        <f>IF(Database!B59="","",Database!C59)</f>
        <v/>
      </c>
      <c r="I59" s="30">
        <f>IF(Database!B59="","",Database!H59)</f>
        <v/>
      </c>
      <c r="J59" s="31" t="n"/>
      <c r="K59" s="88" t="n"/>
      <c r="L59" s="31" t="n"/>
      <c r="M59" s="31" t="n"/>
      <c r="N59" s="31" t="n"/>
      <c r="O59" s="32" t="n"/>
    </row>
    <row r="60">
      <c r="A60" s="30">
        <f>IF(Database!B60="","",ROW()-1)</f>
        <v/>
      </c>
      <c r="B60" s="30">
        <f>IF(Database!B60="","",Database!B60)</f>
        <v/>
      </c>
      <c r="C60" s="87">
        <f>IF(Database!B60="","",Database!A60)</f>
        <v/>
      </c>
      <c r="D60" s="30">
        <f>IF(Database!B60="","",Database!D60)</f>
        <v/>
      </c>
      <c r="E60" s="30">
        <f>IF(Database!B60="","",Database!E60)</f>
        <v/>
      </c>
      <c r="F60" s="30">
        <f>IF(Database!B60="","",Database!F60)</f>
        <v/>
      </c>
      <c r="G60" s="30">
        <f>IF(Database!B60="","",Database!G60)</f>
        <v/>
      </c>
      <c r="H60" s="30">
        <f>IF(Database!B60="","",Database!C60)</f>
        <v/>
      </c>
      <c r="I60" s="30">
        <f>IF(Database!B60="","",Database!H60)</f>
        <v/>
      </c>
      <c r="J60" s="31" t="n"/>
      <c r="K60" s="88" t="n"/>
      <c r="L60" s="31" t="n"/>
      <c r="M60" s="31" t="n"/>
      <c r="N60" s="31" t="n"/>
      <c r="O60" s="32" t="n"/>
    </row>
    <row r="61">
      <c r="A61" s="30">
        <f>IF(Database!B61="","",ROW()-1)</f>
        <v/>
      </c>
      <c r="B61" s="30">
        <f>IF(Database!B61="","",Database!B61)</f>
        <v/>
      </c>
      <c r="C61" s="87">
        <f>IF(Database!B61="","",Database!A61)</f>
        <v/>
      </c>
      <c r="D61" s="30">
        <f>IF(Database!B61="","",Database!D61)</f>
        <v/>
      </c>
      <c r="E61" s="30">
        <f>IF(Database!B61="","",Database!E61)</f>
        <v/>
      </c>
      <c r="F61" s="30">
        <f>IF(Database!B61="","",Database!F61)</f>
        <v/>
      </c>
      <c r="G61" s="30">
        <f>IF(Database!B61="","",Database!G61)</f>
        <v/>
      </c>
      <c r="H61" s="30">
        <f>IF(Database!B61="","",Database!C61)</f>
        <v/>
      </c>
      <c r="I61" s="30">
        <f>IF(Database!B61="","",Database!H61)</f>
        <v/>
      </c>
      <c r="J61" s="31" t="n"/>
      <c r="K61" s="88" t="n"/>
      <c r="L61" s="31" t="n"/>
      <c r="M61" s="31" t="n"/>
      <c r="N61" s="31" t="n"/>
      <c r="O61" s="32" t="n"/>
    </row>
    <row r="62">
      <c r="A62" s="30">
        <f>IF(Database!B62="","",ROW()-1)</f>
        <v/>
      </c>
      <c r="B62" s="30">
        <f>IF(Database!B62="","",Database!B62)</f>
        <v/>
      </c>
      <c r="C62" s="87">
        <f>IF(Database!B62="","",Database!A62)</f>
        <v/>
      </c>
      <c r="D62" s="30">
        <f>IF(Database!B62="","",Database!D62)</f>
        <v/>
      </c>
      <c r="E62" s="30">
        <f>IF(Database!B62="","",Database!E62)</f>
        <v/>
      </c>
      <c r="F62" s="30">
        <f>IF(Database!B62="","",Database!F62)</f>
        <v/>
      </c>
      <c r="G62" s="30">
        <f>IF(Database!B62="","",Database!G62)</f>
        <v/>
      </c>
      <c r="H62" s="30">
        <f>IF(Database!B62="","",Database!C62)</f>
        <v/>
      </c>
      <c r="I62" s="30">
        <f>IF(Database!B62="","",Database!H62)</f>
        <v/>
      </c>
      <c r="J62" s="31" t="n"/>
      <c r="K62" s="88" t="n"/>
      <c r="L62" s="31" t="n"/>
      <c r="M62" s="31" t="n"/>
      <c r="N62" s="31" t="n"/>
      <c r="O62" s="32" t="n"/>
    </row>
    <row r="63">
      <c r="A63" s="30">
        <f>IF(Database!B63="","",ROW()-1)</f>
        <v/>
      </c>
      <c r="B63" s="30">
        <f>IF(Database!B63="","",Database!B63)</f>
        <v/>
      </c>
      <c r="C63" s="87">
        <f>IF(Database!B63="","",Database!A63)</f>
        <v/>
      </c>
      <c r="D63" s="30">
        <f>IF(Database!B63="","",Database!D63)</f>
        <v/>
      </c>
      <c r="E63" s="30">
        <f>IF(Database!B63="","",Database!E63)</f>
        <v/>
      </c>
      <c r="F63" s="30">
        <f>IF(Database!B63="","",Database!F63)</f>
        <v/>
      </c>
      <c r="G63" s="30">
        <f>IF(Database!B63="","",Database!G63)</f>
        <v/>
      </c>
      <c r="H63" s="30">
        <f>IF(Database!B63="","",Database!C63)</f>
        <v/>
      </c>
      <c r="I63" s="30">
        <f>IF(Database!B63="","",Database!H63)</f>
        <v/>
      </c>
      <c r="J63" s="31" t="n"/>
      <c r="K63" s="88" t="n"/>
      <c r="L63" s="31" t="n"/>
      <c r="M63" s="31" t="n"/>
      <c r="N63" s="31" t="n"/>
      <c r="O63" s="32" t="n"/>
    </row>
    <row r="64">
      <c r="A64" s="30">
        <f>IF(Database!B64="","",ROW()-1)</f>
        <v/>
      </c>
      <c r="B64" s="30">
        <f>IF(Database!B64="","",Database!B64)</f>
        <v/>
      </c>
      <c r="C64" s="87">
        <f>IF(Database!B64="","",Database!A64)</f>
        <v/>
      </c>
      <c r="D64" s="30">
        <f>IF(Database!B64="","",Database!D64)</f>
        <v/>
      </c>
      <c r="E64" s="30">
        <f>IF(Database!B64="","",Database!E64)</f>
        <v/>
      </c>
      <c r="F64" s="30">
        <f>IF(Database!B64="","",Database!F64)</f>
        <v/>
      </c>
      <c r="G64" s="30">
        <f>IF(Database!B64="","",Database!G64)</f>
        <v/>
      </c>
      <c r="H64" s="30">
        <f>IF(Database!B64="","",Database!C64)</f>
        <v/>
      </c>
      <c r="I64" s="30">
        <f>IF(Database!B64="","",Database!H64)</f>
        <v/>
      </c>
      <c r="J64" s="31" t="n"/>
      <c r="K64" s="88" t="n"/>
      <c r="L64" s="31" t="n"/>
      <c r="M64" s="31" t="n"/>
      <c r="N64" s="31" t="n"/>
      <c r="O64" s="32" t="n"/>
    </row>
    <row r="65">
      <c r="A65" s="30">
        <f>IF(Database!B65="","",ROW()-1)</f>
        <v/>
      </c>
      <c r="B65" s="30">
        <f>IF(Database!B65="","",Database!B65)</f>
        <v/>
      </c>
      <c r="C65" s="87">
        <f>IF(Database!B65="","",Database!A65)</f>
        <v/>
      </c>
      <c r="D65" s="30">
        <f>IF(Database!B65="","",Database!D65)</f>
        <v/>
      </c>
      <c r="E65" s="30">
        <f>IF(Database!B65="","",Database!E65)</f>
        <v/>
      </c>
      <c r="F65" s="30">
        <f>IF(Database!B65="","",Database!F65)</f>
        <v/>
      </c>
      <c r="G65" s="30">
        <f>IF(Database!B65="","",Database!G65)</f>
        <v/>
      </c>
      <c r="H65" s="30">
        <f>IF(Database!B65="","",Database!C65)</f>
        <v/>
      </c>
      <c r="I65" s="30">
        <f>IF(Database!B65="","",Database!H65)</f>
        <v/>
      </c>
      <c r="J65" s="31" t="n"/>
      <c r="K65" s="88" t="n"/>
      <c r="L65" s="31" t="n"/>
      <c r="M65" s="31" t="n"/>
      <c r="N65" s="31" t="n"/>
      <c r="O65" s="32" t="n"/>
    </row>
    <row r="66">
      <c r="A66" s="30">
        <f>IF(Database!B66="","",ROW()-1)</f>
        <v/>
      </c>
      <c r="B66" s="30">
        <f>IF(Database!B66="","",Database!B66)</f>
        <v/>
      </c>
      <c r="C66" s="87">
        <f>IF(Database!B66="","",Database!A66)</f>
        <v/>
      </c>
      <c r="D66" s="30">
        <f>IF(Database!B66="","",Database!D66)</f>
        <v/>
      </c>
      <c r="E66" s="30">
        <f>IF(Database!B66="","",Database!E66)</f>
        <v/>
      </c>
      <c r="F66" s="30">
        <f>IF(Database!B66="","",Database!F66)</f>
        <v/>
      </c>
      <c r="G66" s="30">
        <f>IF(Database!B66="","",Database!G66)</f>
        <v/>
      </c>
      <c r="H66" s="30">
        <f>IF(Database!B66="","",Database!C66)</f>
        <v/>
      </c>
      <c r="I66" s="30">
        <f>IF(Database!B66="","",Database!H66)</f>
        <v/>
      </c>
      <c r="J66" s="31" t="n"/>
      <c r="K66" s="88" t="n"/>
      <c r="L66" s="31" t="n"/>
      <c r="M66" s="31" t="n"/>
      <c r="N66" s="31" t="n"/>
      <c r="O66" s="32" t="n"/>
    </row>
    <row r="67">
      <c r="A67" s="30">
        <f>IF(Database!B67="","",ROW()-1)</f>
        <v/>
      </c>
      <c r="B67" s="30">
        <f>IF(Database!B67="","",Database!B67)</f>
        <v/>
      </c>
      <c r="C67" s="87">
        <f>IF(Database!B67="","",Database!A67)</f>
        <v/>
      </c>
      <c r="D67" s="30">
        <f>IF(Database!B67="","",Database!D67)</f>
        <v/>
      </c>
      <c r="E67" s="30">
        <f>IF(Database!B67="","",Database!E67)</f>
        <v/>
      </c>
      <c r="F67" s="30">
        <f>IF(Database!B67="","",Database!F67)</f>
        <v/>
      </c>
      <c r="G67" s="30">
        <f>IF(Database!B67="","",Database!G67)</f>
        <v/>
      </c>
      <c r="H67" s="30">
        <f>IF(Database!B67="","",Database!C67)</f>
        <v/>
      </c>
      <c r="I67" s="30">
        <f>IF(Database!B67="","",Database!H67)</f>
        <v/>
      </c>
      <c r="J67" s="31" t="n"/>
      <c r="K67" s="88" t="n"/>
      <c r="L67" s="31" t="n"/>
      <c r="M67" s="31" t="n"/>
      <c r="N67" s="31" t="n"/>
      <c r="O67" s="32" t="n"/>
    </row>
    <row r="68">
      <c r="A68" s="30">
        <f>IF(Database!B68="","",ROW()-1)</f>
        <v/>
      </c>
      <c r="B68" s="30">
        <f>IF(Database!B68="","",Database!B68)</f>
        <v/>
      </c>
      <c r="C68" s="87">
        <f>IF(Database!B68="","",Database!A68)</f>
        <v/>
      </c>
      <c r="D68" s="30">
        <f>IF(Database!B68="","",Database!D68)</f>
        <v/>
      </c>
      <c r="E68" s="30">
        <f>IF(Database!B68="","",Database!E68)</f>
        <v/>
      </c>
      <c r="F68" s="30">
        <f>IF(Database!B68="","",Database!F68)</f>
        <v/>
      </c>
      <c r="G68" s="30">
        <f>IF(Database!B68="","",Database!G68)</f>
        <v/>
      </c>
      <c r="H68" s="30">
        <f>IF(Database!B68="","",Database!C68)</f>
        <v/>
      </c>
      <c r="I68" s="30">
        <f>IF(Database!B68="","",Database!H68)</f>
        <v/>
      </c>
      <c r="J68" s="31" t="n"/>
      <c r="K68" s="88" t="n"/>
      <c r="L68" s="31" t="n"/>
      <c r="M68" s="31" t="n"/>
      <c r="N68" s="31" t="n"/>
      <c r="O68" s="32" t="n"/>
    </row>
    <row r="69">
      <c r="A69" s="30">
        <f>IF(Database!B69="","",ROW()-1)</f>
        <v/>
      </c>
      <c r="B69" s="30">
        <f>IF(Database!B69="","",Database!B69)</f>
        <v/>
      </c>
      <c r="C69" s="87">
        <f>IF(Database!B69="","",Database!A69)</f>
        <v/>
      </c>
      <c r="D69" s="30">
        <f>IF(Database!B69="","",Database!D69)</f>
        <v/>
      </c>
      <c r="E69" s="30">
        <f>IF(Database!B69="","",Database!E69)</f>
        <v/>
      </c>
      <c r="F69" s="30">
        <f>IF(Database!B69="","",Database!F69)</f>
        <v/>
      </c>
      <c r="G69" s="30">
        <f>IF(Database!B69="","",Database!G69)</f>
        <v/>
      </c>
      <c r="H69" s="30">
        <f>IF(Database!B69="","",Database!C69)</f>
        <v/>
      </c>
      <c r="I69" s="30">
        <f>IF(Database!B69="","",Database!H69)</f>
        <v/>
      </c>
      <c r="J69" s="31" t="n"/>
      <c r="K69" s="88" t="n"/>
      <c r="L69" s="31" t="n"/>
      <c r="M69" s="31" t="n"/>
      <c r="N69" s="31" t="n"/>
      <c r="O69" s="32" t="n"/>
    </row>
    <row r="70">
      <c r="A70" s="30">
        <f>IF(Database!B70="","",ROW()-1)</f>
        <v/>
      </c>
      <c r="B70" s="30">
        <f>IF(Database!B70="","",Database!B70)</f>
        <v/>
      </c>
      <c r="C70" s="87">
        <f>IF(Database!B70="","",Database!A70)</f>
        <v/>
      </c>
      <c r="D70" s="30">
        <f>IF(Database!B70="","",Database!D70)</f>
        <v/>
      </c>
      <c r="E70" s="30">
        <f>IF(Database!B70="","",Database!E70)</f>
        <v/>
      </c>
      <c r="F70" s="30">
        <f>IF(Database!B70="","",Database!F70)</f>
        <v/>
      </c>
      <c r="G70" s="30">
        <f>IF(Database!B70="","",Database!G70)</f>
        <v/>
      </c>
      <c r="H70" s="30">
        <f>IF(Database!B70="","",Database!C70)</f>
        <v/>
      </c>
      <c r="I70" s="30">
        <f>IF(Database!B70="","",Database!H70)</f>
        <v/>
      </c>
      <c r="J70" s="31" t="n"/>
      <c r="K70" s="88" t="n"/>
      <c r="L70" s="31" t="n"/>
      <c r="M70" s="31" t="n"/>
      <c r="N70" s="31" t="n"/>
      <c r="O70" s="32" t="n"/>
    </row>
    <row r="71">
      <c r="A71" s="30">
        <f>IF(Database!B71="","",ROW()-1)</f>
        <v/>
      </c>
      <c r="B71" s="30">
        <f>IF(Database!B71="","",Database!B71)</f>
        <v/>
      </c>
      <c r="C71" s="87">
        <f>IF(Database!B71="","",Database!A71)</f>
        <v/>
      </c>
      <c r="D71" s="30">
        <f>IF(Database!B71="","",Database!D71)</f>
        <v/>
      </c>
      <c r="E71" s="30">
        <f>IF(Database!B71="","",Database!E71)</f>
        <v/>
      </c>
      <c r="F71" s="30">
        <f>IF(Database!B71="","",Database!F71)</f>
        <v/>
      </c>
      <c r="G71" s="30">
        <f>IF(Database!B71="","",Database!G71)</f>
        <v/>
      </c>
      <c r="H71" s="30">
        <f>IF(Database!B71="","",Database!C71)</f>
        <v/>
      </c>
      <c r="I71" s="30">
        <f>IF(Database!B71="","",Database!H71)</f>
        <v/>
      </c>
      <c r="J71" s="31" t="n"/>
      <c r="K71" s="88" t="n"/>
      <c r="L71" s="31" t="n"/>
      <c r="M71" s="31" t="n"/>
      <c r="N71" s="31" t="n"/>
      <c r="O71" s="32" t="n"/>
    </row>
    <row r="72">
      <c r="A72" s="30">
        <f>IF(Database!B72="","",ROW()-1)</f>
        <v/>
      </c>
      <c r="B72" s="30">
        <f>IF(Database!B72="","",Database!B72)</f>
        <v/>
      </c>
      <c r="C72" s="87">
        <f>IF(Database!B72="","",Database!A72)</f>
        <v/>
      </c>
      <c r="D72" s="30">
        <f>IF(Database!B72="","",Database!D72)</f>
        <v/>
      </c>
      <c r="E72" s="30">
        <f>IF(Database!B72="","",Database!E72)</f>
        <v/>
      </c>
      <c r="F72" s="30">
        <f>IF(Database!B72="","",Database!F72)</f>
        <v/>
      </c>
      <c r="G72" s="30">
        <f>IF(Database!B72="","",Database!G72)</f>
        <v/>
      </c>
      <c r="H72" s="30">
        <f>IF(Database!B72="","",Database!C72)</f>
        <v/>
      </c>
      <c r="I72" s="30">
        <f>IF(Database!B72="","",Database!H72)</f>
        <v/>
      </c>
      <c r="J72" s="31" t="n"/>
      <c r="K72" s="88" t="n"/>
      <c r="L72" s="31" t="n"/>
      <c r="M72" s="31" t="n"/>
      <c r="N72" s="31" t="n"/>
      <c r="O72" s="32" t="n"/>
    </row>
    <row r="73">
      <c r="A73" s="30">
        <f>IF(Database!B73="","",ROW()-1)</f>
        <v/>
      </c>
      <c r="B73" s="30">
        <f>IF(Database!B73="","",Database!B73)</f>
        <v/>
      </c>
      <c r="C73" s="87">
        <f>IF(Database!B73="","",Database!A73)</f>
        <v/>
      </c>
      <c r="D73" s="30">
        <f>IF(Database!B73="","",Database!D73)</f>
        <v/>
      </c>
      <c r="E73" s="30">
        <f>IF(Database!B73="","",Database!E73)</f>
        <v/>
      </c>
      <c r="F73" s="30">
        <f>IF(Database!B73="","",Database!F73)</f>
        <v/>
      </c>
      <c r="G73" s="30">
        <f>IF(Database!B73="","",Database!G73)</f>
        <v/>
      </c>
      <c r="H73" s="30">
        <f>IF(Database!B73="","",Database!C73)</f>
        <v/>
      </c>
      <c r="I73" s="30">
        <f>IF(Database!B73="","",Database!H73)</f>
        <v/>
      </c>
      <c r="J73" s="31" t="n"/>
      <c r="K73" s="88" t="n"/>
      <c r="L73" s="31" t="n"/>
      <c r="M73" s="31" t="n"/>
      <c r="N73" s="31" t="n"/>
      <c r="O73" s="32" t="n"/>
    </row>
    <row r="74">
      <c r="A74" s="30">
        <f>IF(Database!B74="","",ROW()-1)</f>
        <v/>
      </c>
      <c r="B74" s="30">
        <f>IF(Database!B74="","",Database!B74)</f>
        <v/>
      </c>
      <c r="C74" s="87">
        <f>IF(Database!B74="","",Database!A74)</f>
        <v/>
      </c>
      <c r="D74" s="30">
        <f>IF(Database!B74="","",Database!D74)</f>
        <v/>
      </c>
      <c r="E74" s="30">
        <f>IF(Database!B74="","",Database!E74)</f>
        <v/>
      </c>
      <c r="F74" s="30">
        <f>IF(Database!B74="","",Database!F74)</f>
        <v/>
      </c>
      <c r="G74" s="30">
        <f>IF(Database!B74="","",Database!G74)</f>
        <v/>
      </c>
      <c r="H74" s="30">
        <f>IF(Database!B74="","",Database!C74)</f>
        <v/>
      </c>
      <c r="I74" s="30">
        <f>IF(Database!B74="","",Database!H74)</f>
        <v/>
      </c>
      <c r="J74" s="31" t="n"/>
      <c r="K74" s="88" t="n"/>
      <c r="L74" s="31" t="n"/>
      <c r="M74" s="31" t="n"/>
      <c r="N74" s="31" t="n"/>
      <c r="O74" s="32" t="n"/>
    </row>
    <row r="75">
      <c r="A75" s="30">
        <f>IF(Database!B75="","",ROW()-1)</f>
        <v/>
      </c>
      <c r="B75" s="30">
        <f>IF(Database!B75="","",Database!B75)</f>
        <v/>
      </c>
      <c r="C75" s="87">
        <f>IF(Database!B75="","",Database!A75)</f>
        <v/>
      </c>
      <c r="D75" s="30">
        <f>IF(Database!B75="","",Database!D75)</f>
        <v/>
      </c>
      <c r="E75" s="30">
        <f>IF(Database!B75="","",Database!E75)</f>
        <v/>
      </c>
      <c r="F75" s="30">
        <f>IF(Database!B75="","",Database!F75)</f>
        <v/>
      </c>
      <c r="G75" s="30">
        <f>IF(Database!B75="","",Database!G75)</f>
        <v/>
      </c>
      <c r="H75" s="30">
        <f>IF(Database!B75="","",Database!C75)</f>
        <v/>
      </c>
      <c r="I75" s="30">
        <f>IF(Database!B75="","",Database!H75)</f>
        <v/>
      </c>
      <c r="J75" s="31" t="n"/>
      <c r="K75" s="88" t="n"/>
      <c r="L75" s="31" t="n"/>
      <c r="M75" s="31" t="n"/>
      <c r="N75" s="31" t="n"/>
      <c r="O75" s="32" t="n"/>
    </row>
    <row r="76">
      <c r="A76" s="30">
        <f>IF(Database!B76="","",ROW()-1)</f>
        <v/>
      </c>
      <c r="B76" s="30">
        <f>IF(Database!B76="","",Database!B76)</f>
        <v/>
      </c>
      <c r="C76" s="87">
        <f>IF(Database!B76="","",Database!A76)</f>
        <v/>
      </c>
      <c r="D76" s="30">
        <f>IF(Database!B76="","",Database!D76)</f>
        <v/>
      </c>
      <c r="E76" s="30">
        <f>IF(Database!B76="","",Database!E76)</f>
        <v/>
      </c>
      <c r="F76" s="30">
        <f>IF(Database!B76="","",Database!F76)</f>
        <v/>
      </c>
      <c r="G76" s="30">
        <f>IF(Database!B76="","",Database!G76)</f>
        <v/>
      </c>
      <c r="H76" s="30">
        <f>IF(Database!B76="","",Database!C76)</f>
        <v/>
      </c>
      <c r="I76" s="30">
        <f>IF(Database!B76="","",Database!H76)</f>
        <v/>
      </c>
      <c r="J76" s="31" t="n"/>
      <c r="K76" s="88" t="n"/>
      <c r="L76" s="31" t="n"/>
      <c r="M76" s="31" t="n"/>
      <c r="N76" s="31" t="n"/>
      <c r="O76" s="32" t="n"/>
    </row>
    <row r="77">
      <c r="A77" s="30">
        <f>IF(Database!B77="","",ROW()-1)</f>
        <v/>
      </c>
      <c r="B77" s="30">
        <f>IF(Database!B77="","",Database!B77)</f>
        <v/>
      </c>
      <c r="C77" s="87">
        <f>IF(Database!B77="","",Database!A77)</f>
        <v/>
      </c>
      <c r="D77" s="30">
        <f>IF(Database!B77="","",Database!D77)</f>
        <v/>
      </c>
      <c r="E77" s="30">
        <f>IF(Database!B77="","",Database!E77)</f>
        <v/>
      </c>
      <c r="F77" s="30">
        <f>IF(Database!B77="","",Database!F77)</f>
        <v/>
      </c>
      <c r="G77" s="30">
        <f>IF(Database!B77="","",Database!G77)</f>
        <v/>
      </c>
      <c r="H77" s="30">
        <f>IF(Database!B77="","",Database!C77)</f>
        <v/>
      </c>
      <c r="I77" s="30">
        <f>IF(Database!B77="","",Database!H77)</f>
        <v/>
      </c>
      <c r="J77" s="31" t="n"/>
      <c r="K77" s="88" t="n"/>
      <c r="L77" s="31" t="n"/>
      <c r="M77" s="31" t="n"/>
      <c r="N77" s="31" t="n"/>
      <c r="O77" s="32" t="n"/>
    </row>
    <row r="78">
      <c r="A78" s="30">
        <f>IF(Database!B78="","",ROW()-1)</f>
        <v/>
      </c>
      <c r="B78" s="30">
        <f>IF(Database!B78="","",Database!B78)</f>
        <v/>
      </c>
      <c r="C78" s="87">
        <f>IF(Database!B78="","",Database!A78)</f>
        <v/>
      </c>
      <c r="D78" s="30">
        <f>IF(Database!B78="","",Database!D78)</f>
        <v/>
      </c>
      <c r="E78" s="30">
        <f>IF(Database!B78="","",Database!E78)</f>
        <v/>
      </c>
      <c r="F78" s="30">
        <f>IF(Database!B78="","",Database!F78)</f>
        <v/>
      </c>
      <c r="G78" s="30">
        <f>IF(Database!B78="","",Database!G78)</f>
        <v/>
      </c>
      <c r="H78" s="30">
        <f>IF(Database!B78="","",Database!C78)</f>
        <v/>
      </c>
      <c r="I78" s="30">
        <f>IF(Database!B78="","",Database!H78)</f>
        <v/>
      </c>
      <c r="J78" s="31" t="n"/>
      <c r="K78" s="88" t="n"/>
      <c r="L78" s="31" t="n"/>
      <c r="M78" s="31" t="n"/>
      <c r="N78" s="31" t="n"/>
      <c r="O78" s="32" t="n"/>
    </row>
    <row r="79">
      <c r="A79" s="30">
        <f>IF(Database!B79="","",ROW()-1)</f>
        <v/>
      </c>
      <c r="B79" s="30">
        <f>IF(Database!B79="","",Database!B79)</f>
        <v/>
      </c>
      <c r="C79" s="87">
        <f>IF(Database!B79="","",Database!A79)</f>
        <v/>
      </c>
      <c r="D79" s="30">
        <f>IF(Database!B79="","",Database!D79)</f>
        <v/>
      </c>
      <c r="E79" s="30">
        <f>IF(Database!B79="","",Database!E79)</f>
        <v/>
      </c>
      <c r="F79" s="30">
        <f>IF(Database!B79="","",Database!F79)</f>
        <v/>
      </c>
      <c r="G79" s="30">
        <f>IF(Database!B79="","",Database!G79)</f>
        <v/>
      </c>
      <c r="H79" s="30">
        <f>IF(Database!B79="","",Database!C79)</f>
        <v/>
      </c>
      <c r="I79" s="30">
        <f>IF(Database!B79="","",Database!H79)</f>
        <v/>
      </c>
      <c r="J79" s="31" t="n"/>
      <c r="K79" s="88" t="n"/>
      <c r="L79" s="31" t="n"/>
      <c r="M79" s="31" t="n"/>
      <c r="N79" s="31" t="n"/>
      <c r="O79" s="32" t="n"/>
    </row>
    <row r="80">
      <c r="A80" s="30">
        <f>IF(Database!B80="","",ROW()-1)</f>
        <v/>
      </c>
      <c r="B80" s="30">
        <f>IF(Database!B80="","",Database!B80)</f>
        <v/>
      </c>
      <c r="C80" s="87">
        <f>IF(Database!B80="","",Database!A80)</f>
        <v/>
      </c>
      <c r="D80" s="30">
        <f>IF(Database!B80="","",Database!D80)</f>
        <v/>
      </c>
      <c r="E80" s="30">
        <f>IF(Database!B80="","",Database!E80)</f>
        <v/>
      </c>
      <c r="F80" s="30">
        <f>IF(Database!B80="","",Database!F80)</f>
        <v/>
      </c>
      <c r="G80" s="30">
        <f>IF(Database!B80="","",Database!G80)</f>
        <v/>
      </c>
      <c r="H80" s="30">
        <f>IF(Database!B80="","",Database!C80)</f>
        <v/>
      </c>
      <c r="I80" s="30">
        <f>IF(Database!B80="","",Database!H80)</f>
        <v/>
      </c>
      <c r="J80" s="31" t="n"/>
      <c r="K80" s="88" t="n"/>
      <c r="L80" s="31" t="n"/>
      <c r="M80" s="31" t="n"/>
      <c r="N80" s="31" t="n"/>
      <c r="O80" s="32" t="n"/>
    </row>
    <row r="81">
      <c r="A81" s="30">
        <f>IF(Database!B81="","",ROW()-1)</f>
        <v/>
      </c>
      <c r="B81" s="30">
        <f>IF(Database!B81="","",Database!B81)</f>
        <v/>
      </c>
      <c r="C81" s="87">
        <f>IF(Database!B81="","",Database!A81)</f>
        <v/>
      </c>
      <c r="D81" s="30">
        <f>IF(Database!B81="","",Database!D81)</f>
        <v/>
      </c>
      <c r="E81" s="30">
        <f>IF(Database!B81="","",Database!E81)</f>
        <v/>
      </c>
      <c r="F81" s="30">
        <f>IF(Database!B81="","",Database!F81)</f>
        <v/>
      </c>
      <c r="G81" s="30">
        <f>IF(Database!B81="","",Database!G81)</f>
        <v/>
      </c>
      <c r="H81" s="30">
        <f>IF(Database!B81="","",Database!C81)</f>
        <v/>
      </c>
      <c r="I81" s="30">
        <f>IF(Database!B81="","",Database!H81)</f>
        <v/>
      </c>
      <c r="J81" s="31" t="n"/>
      <c r="K81" s="88" t="n"/>
      <c r="L81" s="31" t="n"/>
      <c r="M81" s="31" t="n"/>
      <c r="N81" s="31" t="n"/>
      <c r="O81" s="32" t="n"/>
    </row>
    <row r="82">
      <c r="A82" s="30">
        <f>IF(Database!B82="","",ROW()-1)</f>
        <v/>
      </c>
      <c r="B82" s="30">
        <f>IF(Database!B82="","",Database!B82)</f>
        <v/>
      </c>
      <c r="C82" s="87">
        <f>IF(Database!B82="","",Database!A82)</f>
        <v/>
      </c>
      <c r="D82" s="30">
        <f>IF(Database!B82="","",Database!D82)</f>
        <v/>
      </c>
      <c r="E82" s="30">
        <f>IF(Database!B82="","",Database!E82)</f>
        <v/>
      </c>
      <c r="F82" s="30">
        <f>IF(Database!B82="","",Database!F82)</f>
        <v/>
      </c>
      <c r="G82" s="30">
        <f>IF(Database!B82="","",Database!G82)</f>
        <v/>
      </c>
      <c r="H82" s="30">
        <f>IF(Database!B82="","",Database!C82)</f>
        <v/>
      </c>
      <c r="I82" s="30">
        <f>IF(Database!B82="","",Database!H82)</f>
        <v/>
      </c>
      <c r="J82" s="31" t="n"/>
      <c r="K82" s="88" t="n"/>
      <c r="L82" s="31" t="n"/>
      <c r="M82" s="31" t="n"/>
      <c r="N82" s="31" t="n"/>
      <c r="O82" s="32" t="n"/>
    </row>
    <row r="83">
      <c r="A83" s="30">
        <f>IF(Database!B83="","",ROW()-1)</f>
        <v/>
      </c>
      <c r="B83" s="30">
        <f>IF(Database!B83="","",Database!B83)</f>
        <v/>
      </c>
      <c r="C83" s="87">
        <f>IF(Database!B83="","",Database!A83)</f>
        <v/>
      </c>
      <c r="D83" s="30">
        <f>IF(Database!B83="","",Database!D83)</f>
        <v/>
      </c>
      <c r="E83" s="30">
        <f>IF(Database!B83="","",Database!E83)</f>
        <v/>
      </c>
      <c r="F83" s="30">
        <f>IF(Database!B83="","",Database!F83)</f>
        <v/>
      </c>
      <c r="G83" s="30">
        <f>IF(Database!B83="","",Database!G83)</f>
        <v/>
      </c>
      <c r="H83" s="30">
        <f>IF(Database!B83="","",Database!C83)</f>
        <v/>
      </c>
      <c r="I83" s="30">
        <f>IF(Database!B83="","",Database!H83)</f>
        <v/>
      </c>
      <c r="J83" s="31" t="n"/>
      <c r="K83" s="88" t="n"/>
      <c r="L83" s="31" t="n"/>
      <c r="M83" s="31" t="n"/>
      <c r="N83" s="31" t="n"/>
      <c r="O83" s="32" t="n"/>
    </row>
    <row r="84">
      <c r="A84" s="30">
        <f>IF(Database!B84="","",ROW()-1)</f>
        <v/>
      </c>
      <c r="B84" s="30">
        <f>IF(Database!B84="","",Database!B84)</f>
        <v/>
      </c>
      <c r="C84" s="87">
        <f>IF(Database!B84="","",Database!A84)</f>
        <v/>
      </c>
      <c r="D84" s="30">
        <f>IF(Database!B84="","",Database!D84)</f>
        <v/>
      </c>
      <c r="E84" s="30">
        <f>IF(Database!B84="","",Database!E84)</f>
        <v/>
      </c>
      <c r="F84" s="30">
        <f>IF(Database!B84="","",Database!F84)</f>
        <v/>
      </c>
      <c r="G84" s="30">
        <f>IF(Database!B84="","",Database!G84)</f>
        <v/>
      </c>
      <c r="H84" s="30">
        <f>IF(Database!B84="","",Database!C84)</f>
        <v/>
      </c>
      <c r="I84" s="30">
        <f>IF(Database!B84="","",Database!H84)</f>
        <v/>
      </c>
      <c r="J84" s="31" t="n"/>
      <c r="K84" s="88" t="n"/>
      <c r="L84" s="31" t="n"/>
      <c r="M84" s="31" t="n"/>
      <c r="N84" s="31" t="n"/>
      <c r="O84" s="32" t="n"/>
    </row>
    <row r="85">
      <c r="A85" s="30">
        <f>IF(Database!B85="","",ROW()-1)</f>
        <v/>
      </c>
      <c r="B85" s="30">
        <f>IF(Database!B85="","",Database!B85)</f>
        <v/>
      </c>
      <c r="C85" s="87">
        <f>IF(Database!B85="","",Database!A85)</f>
        <v/>
      </c>
      <c r="D85" s="30">
        <f>IF(Database!B85="","",Database!D85)</f>
        <v/>
      </c>
      <c r="E85" s="30">
        <f>IF(Database!B85="","",Database!E85)</f>
        <v/>
      </c>
      <c r="F85" s="30">
        <f>IF(Database!B85="","",Database!F85)</f>
        <v/>
      </c>
      <c r="G85" s="30">
        <f>IF(Database!B85="","",Database!G85)</f>
        <v/>
      </c>
      <c r="H85" s="30">
        <f>IF(Database!B85="","",Database!C85)</f>
        <v/>
      </c>
      <c r="I85" s="30">
        <f>IF(Database!B85="","",Database!H85)</f>
        <v/>
      </c>
      <c r="J85" s="31" t="n"/>
      <c r="K85" s="88" t="n"/>
      <c r="L85" s="31" t="n"/>
      <c r="M85" s="31" t="n"/>
      <c r="N85" s="31" t="n"/>
      <c r="O85" s="32" t="n"/>
    </row>
    <row r="86">
      <c r="A86" s="30">
        <f>IF(Database!B86="","",ROW()-1)</f>
        <v/>
      </c>
      <c r="B86" s="30">
        <f>IF(Database!B86="","",Database!B86)</f>
        <v/>
      </c>
      <c r="C86" s="87">
        <f>IF(Database!B86="","",Database!A86)</f>
        <v/>
      </c>
      <c r="D86" s="30">
        <f>IF(Database!B86="","",Database!D86)</f>
        <v/>
      </c>
      <c r="E86" s="30">
        <f>IF(Database!B86="","",Database!E86)</f>
        <v/>
      </c>
      <c r="F86" s="30">
        <f>IF(Database!B86="","",Database!F86)</f>
        <v/>
      </c>
      <c r="G86" s="30">
        <f>IF(Database!B86="","",Database!G86)</f>
        <v/>
      </c>
      <c r="H86" s="30">
        <f>IF(Database!B86="","",Database!C86)</f>
        <v/>
      </c>
      <c r="I86" s="30">
        <f>IF(Database!B86="","",Database!H86)</f>
        <v/>
      </c>
      <c r="J86" s="31" t="n"/>
      <c r="K86" s="88" t="n"/>
      <c r="L86" s="31" t="n"/>
      <c r="M86" s="31" t="n"/>
      <c r="N86" s="31" t="n"/>
      <c r="O86" s="32" t="n"/>
    </row>
    <row r="87">
      <c r="A87" s="30">
        <f>IF(Database!B87="","",ROW()-1)</f>
        <v/>
      </c>
      <c r="B87" s="30">
        <f>IF(Database!B87="","",Database!B87)</f>
        <v/>
      </c>
      <c r="C87" s="87">
        <f>IF(Database!B87="","",Database!A87)</f>
        <v/>
      </c>
      <c r="D87" s="30">
        <f>IF(Database!B87="","",Database!D87)</f>
        <v/>
      </c>
      <c r="E87" s="30">
        <f>IF(Database!B87="","",Database!E87)</f>
        <v/>
      </c>
      <c r="F87" s="30">
        <f>IF(Database!B87="","",Database!F87)</f>
        <v/>
      </c>
      <c r="G87" s="30">
        <f>IF(Database!B87="","",Database!G87)</f>
        <v/>
      </c>
      <c r="H87" s="30">
        <f>IF(Database!B87="","",Database!C87)</f>
        <v/>
      </c>
      <c r="I87" s="30">
        <f>IF(Database!B87="","",Database!H87)</f>
        <v/>
      </c>
      <c r="J87" s="31" t="n"/>
      <c r="K87" s="88" t="n"/>
      <c r="L87" s="31" t="n"/>
      <c r="M87" s="31" t="n"/>
      <c r="N87" s="31" t="n"/>
      <c r="O87" s="32" t="n"/>
    </row>
    <row r="88">
      <c r="A88" s="30">
        <f>IF(Database!B88="","",ROW()-1)</f>
        <v/>
      </c>
      <c r="B88" s="30">
        <f>IF(Database!B88="","",Database!B88)</f>
        <v/>
      </c>
      <c r="C88" s="87">
        <f>IF(Database!B88="","",Database!A88)</f>
        <v/>
      </c>
      <c r="D88" s="30">
        <f>IF(Database!B88="","",Database!D88)</f>
        <v/>
      </c>
      <c r="E88" s="30">
        <f>IF(Database!B88="","",Database!E88)</f>
        <v/>
      </c>
      <c r="F88" s="30">
        <f>IF(Database!B88="","",Database!F88)</f>
        <v/>
      </c>
      <c r="G88" s="30">
        <f>IF(Database!B88="","",Database!G88)</f>
        <v/>
      </c>
      <c r="H88" s="30">
        <f>IF(Database!B88="","",Database!C88)</f>
        <v/>
      </c>
      <c r="I88" s="30">
        <f>IF(Database!B88="","",Database!H88)</f>
        <v/>
      </c>
      <c r="J88" s="31" t="n"/>
      <c r="K88" s="88" t="n"/>
      <c r="L88" s="31" t="n"/>
      <c r="M88" s="31" t="n"/>
      <c r="N88" s="31" t="n"/>
      <c r="O88" s="32" t="n"/>
    </row>
    <row r="89">
      <c r="A89" s="30">
        <f>IF(Database!B89="","",ROW()-1)</f>
        <v/>
      </c>
      <c r="B89" s="30">
        <f>IF(Database!B89="","",Database!B89)</f>
        <v/>
      </c>
      <c r="C89" s="87">
        <f>IF(Database!B89="","",Database!A89)</f>
        <v/>
      </c>
      <c r="D89" s="30">
        <f>IF(Database!B89="","",Database!D89)</f>
        <v/>
      </c>
      <c r="E89" s="30">
        <f>IF(Database!B89="","",Database!E89)</f>
        <v/>
      </c>
      <c r="F89" s="30">
        <f>IF(Database!B89="","",Database!F89)</f>
        <v/>
      </c>
      <c r="G89" s="30">
        <f>IF(Database!B89="","",Database!G89)</f>
        <v/>
      </c>
      <c r="H89" s="30">
        <f>IF(Database!B89="","",Database!C89)</f>
        <v/>
      </c>
      <c r="I89" s="30">
        <f>IF(Database!B89="","",Database!H89)</f>
        <v/>
      </c>
      <c r="J89" s="31" t="n"/>
      <c r="K89" s="88" t="n"/>
      <c r="L89" s="31" t="n"/>
      <c r="M89" s="31" t="n"/>
      <c r="N89" s="31" t="n"/>
      <c r="O89" s="32" t="n"/>
    </row>
    <row r="90">
      <c r="A90" s="30">
        <f>IF(Database!B90="","",ROW()-1)</f>
        <v/>
      </c>
      <c r="B90" s="30">
        <f>IF(Database!B90="","",Database!B90)</f>
        <v/>
      </c>
      <c r="C90" s="87">
        <f>IF(Database!B90="","",Database!A90)</f>
        <v/>
      </c>
      <c r="D90" s="30">
        <f>IF(Database!B90="","",Database!D90)</f>
        <v/>
      </c>
      <c r="E90" s="30">
        <f>IF(Database!B90="","",Database!E90)</f>
        <v/>
      </c>
      <c r="F90" s="30">
        <f>IF(Database!B90="","",Database!F90)</f>
        <v/>
      </c>
      <c r="G90" s="30">
        <f>IF(Database!B90="","",Database!G90)</f>
        <v/>
      </c>
      <c r="H90" s="30">
        <f>IF(Database!B90="","",Database!C90)</f>
        <v/>
      </c>
      <c r="I90" s="30">
        <f>IF(Database!B90="","",Database!H90)</f>
        <v/>
      </c>
      <c r="J90" s="31" t="n"/>
      <c r="K90" s="88" t="n"/>
      <c r="L90" s="31" t="n"/>
      <c r="M90" s="31" t="n"/>
      <c r="N90" s="31" t="n"/>
      <c r="O90" s="32" t="n"/>
    </row>
    <row r="91">
      <c r="A91" s="30">
        <f>IF(Database!B91="","",ROW()-1)</f>
        <v/>
      </c>
      <c r="B91" s="30">
        <f>IF(Database!B91="","",Database!B91)</f>
        <v/>
      </c>
      <c r="C91" s="87">
        <f>IF(Database!B91="","",Database!A91)</f>
        <v/>
      </c>
      <c r="D91" s="30">
        <f>IF(Database!B91="","",Database!D91)</f>
        <v/>
      </c>
      <c r="E91" s="30">
        <f>IF(Database!B91="","",Database!E91)</f>
        <v/>
      </c>
      <c r="F91" s="30">
        <f>IF(Database!B91="","",Database!F91)</f>
        <v/>
      </c>
      <c r="G91" s="30">
        <f>IF(Database!B91="","",Database!G91)</f>
        <v/>
      </c>
      <c r="H91" s="30">
        <f>IF(Database!B91="","",Database!C91)</f>
        <v/>
      </c>
      <c r="I91" s="30">
        <f>IF(Database!B91="","",Database!H91)</f>
        <v/>
      </c>
      <c r="J91" s="31" t="n"/>
      <c r="K91" s="88" t="n"/>
      <c r="L91" s="31" t="n"/>
      <c r="M91" s="31" t="n"/>
      <c r="N91" s="31" t="n"/>
      <c r="O91" s="32" t="n"/>
    </row>
    <row r="92">
      <c r="A92" s="30">
        <f>IF(Database!B92="","",ROW()-1)</f>
        <v/>
      </c>
      <c r="B92" s="30">
        <f>IF(Database!B92="","",Database!B92)</f>
        <v/>
      </c>
      <c r="C92" s="87">
        <f>IF(Database!B92="","",Database!A92)</f>
        <v/>
      </c>
      <c r="D92" s="30">
        <f>IF(Database!B92="","",Database!D92)</f>
        <v/>
      </c>
      <c r="E92" s="30">
        <f>IF(Database!B92="","",Database!E92)</f>
        <v/>
      </c>
      <c r="F92" s="30">
        <f>IF(Database!B92="","",Database!F92)</f>
        <v/>
      </c>
      <c r="G92" s="30">
        <f>IF(Database!B92="","",Database!G92)</f>
        <v/>
      </c>
      <c r="H92" s="30">
        <f>IF(Database!B92="","",Database!C92)</f>
        <v/>
      </c>
      <c r="I92" s="30">
        <f>IF(Database!B92="","",Database!H92)</f>
        <v/>
      </c>
      <c r="J92" s="31" t="n"/>
      <c r="K92" s="88" t="n"/>
      <c r="L92" s="31" t="n"/>
      <c r="M92" s="31" t="n"/>
      <c r="N92" s="31" t="n"/>
      <c r="O92" s="32" t="n"/>
    </row>
    <row r="93">
      <c r="A93" s="30">
        <f>IF(Database!B93="","",ROW()-1)</f>
        <v/>
      </c>
      <c r="B93" s="30">
        <f>IF(Database!B93="","",Database!B93)</f>
        <v/>
      </c>
      <c r="C93" s="87">
        <f>IF(Database!B93="","",Database!A93)</f>
        <v/>
      </c>
      <c r="D93" s="30">
        <f>IF(Database!B93="","",Database!D93)</f>
        <v/>
      </c>
      <c r="E93" s="30">
        <f>IF(Database!B93="","",Database!E93)</f>
        <v/>
      </c>
      <c r="F93" s="30">
        <f>IF(Database!B93="","",Database!F93)</f>
        <v/>
      </c>
      <c r="G93" s="30">
        <f>IF(Database!B93="","",Database!G93)</f>
        <v/>
      </c>
      <c r="H93" s="30">
        <f>IF(Database!B93="","",Database!C93)</f>
        <v/>
      </c>
      <c r="I93" s="30">
        <f>IF(Database!B93="","",Database!H93)</f>
        <v/>
      </c>
      <c r="J93" s="31" t="n"/>
      <c r="K93" s="88" t="n"/>
      <c r="L93" s="31" t="n"/>
      <c r="M93" s="31" t="n"/>
      <c r="N93" s="31" t="n"/>
      <c r="O93" s="32" t="n"/>
    </row>
    <row r="94">
      <c r="A94" s="30">
        <f>IF(Database!B94="","",ROW()-1)</f>
        <v/>
      </c>
      <c r="B94" s="30">
        <f>IF(Database!B94="","",Database!B94)</f>
        <v/>
      </c>
      <c r="C94" s="87">
        <f>IF(Database!B94="","",Database!A94)</f>
        <v/>
      </c>
      <c r="D94" s="30">
        <f>IF(Database!B94="","",Database!D94)</f>
        <v/>
      </c>
      <c r="E94" s="30">
        <f>IF(Database!B94="","",Database!E94)</f>
        <v/>
      </c>
      <c r="F94" s="30">
        <f>IF(Database!B94="","",Database!F94)</f>
        <v/>
      </c>
      <c r="G94" s="30">
        <f>IF(Database!B94="","",Database!G94)</f>
        <v/>
      </c>
      <c r="H94" s="30">
        <f>IF(Database!B94="","",Database!C94)</f>
        <v/>
      </c>
      <c r="I94" s="30">
        <f>IF(Database!B94="","",Database!H94)</f>
        <v/>
      </c>
      <c r="J94" s="31" t="n"/>
      <c r="K94" s="88" t="n"/>
      <c r="L94" s="31" t="n"/>
      <c r="M94" s="31" t="n"/>
      <c r="N94" s="31" t="n"/>
      <c r="O94" s="32" t="n"/>
    </row>
    <row r="95">
      <c r="A95" s="30">
        <f>IF(Database!B95="","",ROW()-1)</f>
        <v/>
      </c>
      <c r="B95" s="30">
        <f>IF(Database!B95="","",Database!B95)</f>
        <v/>
      </c>
      <c r="C95" s="87">
        <f>IF(Database!B95="","",Database!A95)</f>
        <v/>
      </c>
      <c r="D95" s="30">
        <f>IF(Database!B95="","",Database!D95)</f>
        <v/>
      </c>
      <c r="E95" s="30">
        <f>IF(Database!B95="","",Database!E95)</f>
        <v/>
      </c>
      <c r="F95" s="30">
        <f>IF(Database!B95="","",Database!F95)</f>
        <v/>
      </c>
      <c r="G95" s="30">
        <f>IF(Database!B95="","",Database!G95)</f>
        <v/>
      </c>
      <c r="H95" s="30">
        <f>IF(Database!B95="","",Database!C95)</f>
        <v/>
      </c>
      <c r="I95" s="30">
        <f>IF(Database!B95="","",Database!H95)</f>
        <v/>
      </c>
      <c r="J95" s="31" t="n"/>
      <c r="K95" s="88" t="n"/>
      <c r="L95" s="31" t="n"/>
      <c r="M95" s="31" t="n"/>
      <c r="N95" s="31" t="n"/>
      <c r="O95" s="32" t="n"/>
    </row>
    <row r="96">
      <c r="A96" s="30">
        <f>IF(Database!B96="","",ROW()-1)</f>
        <v/>
      </c>
      <c r="B96" s="30">
        <f>IF(Database!B96="","",Database!B96)</f>
        <v/>
      </c>
      <c r="C96" s="87">
        <f>IF(Database!B96="","",Database!A96)</f>
        <v/>
      </c>
      <c r="D96" s="30">
        <f>IF(Database!B96="","",Database!D96)</f>
        <v/>
      </c>
      <c r="E96" s="30">
        <f>IF(Database!B96="","",Database!E96)</f>
        <v/>
      </c>
      <c r="F96" s="30">
        <f>IF(Database!B96="","",Database!F96)</f>
        <v/>
      </c>
      <c r="G96" s="30">
        <f>IF(Database!B96="","",Database!G96)</f>
        <v/>
      </c>
      <c r="H96" s="30">
        <f>IF(Database!B96="","",Database!C96)</f>
        <v/>
      </c>
      <c r="I96" s="30">
        <f>IF(Database!B96="","",Database!H96)</f>
        <v/>
      </c>
      <c r="J96" s="31" t="n"/>
      <c r="K96" s="88" t="n"/>
      <c r="L96" s="31" t="n"/>
      <c r="M96" s="31" t="n"/>
      <c r="N96" s="31" t="n"/>
      <c r="O96" s="32" t="n"/>
    </row>
    <row r="97">
      <c r="A97" s="30">
        <f>IF(Database!B97="","",ROW()-1)</f>
        <v/>
      </c>
      <c r="B97" s="30">
        <f>IF(Database!B97="","",Database!B97)</f>
        <v/>
      </c>
      <c r="C97" s="87">
        <f>IF(Database!B97="","",Database!A97)</f>
        <v/>
      </c>
      <c r="D97" s="30">
        <f>IF(Database!B97="","",Database!D97)</f>
        <v/>
      </c>
      <c r="E97" s="30">
        <f>IF(Database!B97="","",Database!E97)</f>
        <v/>
      </c>
      <c r="F97" s="30">
        <f>IF(Database!B97="","",Database!F97)</f>
        <v/>
      </c>
      <c r="G97" s="30">
        <f>IF(Database!B97="","",Database!G97)</f>
        <v/>
      </c>
      <c r="H97" s="30">
        <f>IF(Database!B97="","",Database!C97)</f>
        <v/>
      </c>
      <c r="I97" s="30">
        <f>IF(Database!B97="","",Database!H97)</f>
        <v/>
      </c>
      <c r="J97" s="31" t="n"/>
      <c r="K97" s="88" t="n"/>
      <c r="L97" s="31" t="n"/>
      <c r="M97" s="31" t="n"/>
      <c r="N97" s="31" t="n"/>
      <c r="O97" s="32" t="n"/>
    </row>
    <row r="98">
      <c r="A98" s="30">
        <f>IF(Database!B98="","",ROW()-1)</f>
        <v/>
      </c>
      <c r="B98" s="30">
        <f>IF(Database!B98="","",Database!B98)</f>
        <v/>
      </c>
      <c r="C98" s="87">
        <f>IF(Database!B98="","",Database!A98)</f>
        <v/>
      </c>
      <c r="D98" s="30">
        <f>IF(Database!B98="","",Database!D98)</f>
        <v/>
      </c>
      <c r="E98" s="30">
        <f>IF(Database!B98="","",Database!E98)</f>
        <v/>
      </c>
      <c r="F98" s="30">
        <f>IF(Database!B98="","",Database!F98)</f>
        <v/>
      </c>
      <c r="G98" s="30">
        <f>IF(Database!B98="","",Database!G98)</f>
        <v/>
      </c>
      <c r="H98" s="30">
        <f>IF(Database!B98="","",Database!C98)</f>
        <v/>
      </c>
      <c r="I98" s="30">
        <f>IF(Database!B98="","",Database!H98)</f>
        <v/>
      </c>
      <c r="J98" s="31" t="n"/>
      <c r="K98" s="88" t="n"/>
      <c r="L98" s="31" t="n"/>
      <c r="M98" s="31" t="n"/>
      <c r="N98" s="31" t="n"/>
      <c r="O98" s="32" t="n"/>
    </row>
    <row r="99">
      <c r="A99" s="30">
        <f>IF(Database!B99="","",ROW()-1)</f>
        <v/>
      </c>
      <c r="B99" s="30">
        <f>IF(Database!B99="","",Database!B99)</f>
        <v/>
      </c>
      <c r="C99" s="87">
        <f>IF(Database!B99="","",Database!A99)</f>
        <v/>
      </c>
      <c r="D99" s="30">
        <f>IF(Database!B99="","",Database!D99)</f>
        <v/>
      </c>
      <c r="E99" s="30">
        <f>IF(Database!B99="","",Database!E99)</f>
        <v/>
      </c>
      <c r="F99" s="30">
        <f>IF(Database!B99="","",Database!F99)</f>
        <v/>
      </c>
      <c r="G99" s="30">
        <f>IF(Database!B99="","",Database!G99)</f>
        <v/>
      </c>
      <c r="H99" s="30">
        <f>IF(Database!B99="","",Database!C99)</f>
        <v/>
      </c>
      <c r="I99" s="30">
        <f>IF(Database!B99="","",Database!H99)</f>
        <v/>
      </c>
      <c r="J99" s="31" t="n"/>
      <c r="K99" s="88" t="n"/>
      <c r="L99" s="31" t="n"/>
      <c r="M99" s="31" t="n"/>
      <c r="N99" s="31" t="n"/>
      <c r="O99" s="32" t="n"/>
    </row>
    <row r="100">
      <c r="A100" s="30">
        <f>IF(Database!B100="","",ROW()-1)</f>
        <v/>
      </c>
      <c r="B100" s="30">
        <f>IF(Database!B100="","",Database!B100)</f>
        <v/>
      </c>
      <c r="C100" s="87">
        <f>IF(Database!B100="","",Database!A100)</f>
        <v/>
      </c>
      <c r="D100" s="30">
        <f>IF(Database!B100="","",Database!D100)</f>
        <v/>
      </c>
      <c r="E100" s="30">
        <f>IF(Database!B100="","",Database!E100)</f>
        <v/>
      </c>
      <c r="F100" s="30">
        <f>IF(Database!B100="","",Database!F100)</f>
        <v/>
      </c>
      <c r="G100" s="30">
        <f>IF(Database!B100="","",Database!G100)</f>
        <v/>
      </c>
      <c r="H100" s="30">
        <f>IF(Database!B100="","",Database!C100)</f>
        <v/>
      </c>
      <c r="I100" s="30">
        <f>IF(Database!B100="","",Database!H100)</f>
        <v/>
      </c>
      <c r="J100" s="31" t="n"/>
      <c r="K100" s="88" t="n"/>
      <c r="L100" s="31" t="n"/>
      <c r="M100" s="31" t="n"/>
      <c r="N100" s="31" t="n"/>
      <c r="O100" s="32" t="n"/>
    </row>
    <row r="101">
      <c r="A101" s="30">
        <f>IF(Database!B101="","",ROW()-1)</f>
        <v/>
      </c>
      <c r="B101" s="30">
        <f>IF(Database!B101="","",Database!B101)</f>
        <v/>
      </c>
      <c r="C101" s="87">
        <f>IF(Database!B101="","",Database!A101)</f>
        <v/>
      </c>
      <c r="D101" s="30">
        <f>IF(Database!B101="","",Database!D101)</f>
        <v/>
      </c>
      <c r="E101" s="30">
        <f>IF(Database!B101="","",Database!E101)</f>
        <v/>
      </c>
      <c r="F101" s="30">
        <f>IF(Database!B101="","",Database!F101)</f>
        <v/>
      </c>
      <c r="G101" s="30">
        <f>IF(Database!B101="","",Database!G101)</f>
        <v/>
      </c>
      <c r="H101" s="30">
        <f>IF(Database!B101="","",Database!C101)</f>
        <v/>
      </c>
      <c r="I101" s="30">
        <f>IF(Database!B101="","",Database!H101)</f>
        <v/>
      </c>
      <c r="J101" s="31" t="n"/>
      <c r="K101" s="88" t="n"/>
      <c r="L101" s="31" t="n"/>
      <c r="M101" s="31" t="n"/>
      <c r="N101" s="31" t="n"/>
      <c r="O101" s="32" t="n"/>
    </row>
    <row r="102">
      <c r="A102" s="30">
        <f>IF(Database!B102="","",ROW()-1)</f>
        <v/>
      </c>
      <c r="B102" s="30">
        <f>IF(Database!B102="","",Database!B102)</f>
        <v/>
      </c>
      <c r="C102" s="87">
        <f>IF(Database!B102="","",Database!A102)</f>
        <v/>
      </c>
      <c r="D102" s="30">
        <f>IF(Database!B102="","",Database!D102)</f>
        <v/>
      </c>
      <c r="E102" s="30">
        <f>IF(Database!B102="","",Database!E102)</f>
        <v/>
      </c>
      <c r="F102" s="30">
        <f>IF(Database!B102="","",Database!F102)</f>
        <v/>
      </c>
      <c r="G102" s="30">
        <f>IF(Database!B102="","",Database!G102)</f>
        <v/>
      </c>
      <c r="H102" s="30">
        <f>IF(Database!B102="","",Database!C102)</f>
        <v/>
      </c>
      <c r="I102" s="30">
        <f>IF(Database!B102="","",Database!H102)</f>
        <v/>
      </c>
      <c r="J102" s="31" t="n"/>
      <c r="K102" s="88" t="n"/>
      <c r="L102" s="31" t="n"/>
      <c r="M102" s="31" t="n"/>
      <c r="N102" s="31" t="n"/>
      <c r="O102" s="32" t="n"/>
    </row>
    <row r="103">
      <c r="A103" s="30">
        <f>IF(Database!B103="","",ROW()-1)</f>
        <v/>
      </c>
      <c r="B103" s="30">
        <f>IF(Database!B103="","",Database!B103)</f>
        <v/>
      </c>
      <c r="C103" s="87">
        <f>IF(Database!B103="","",Database!A103)</f>
        <v/>
      </c>
      <c r="D103" s="30">
        <f>IF(Database!B103="","",Database!D103)</f>
        <v/>
      </c>
      <c r="E103" s="30">
        <f>IF(Database!B103="","",Database!E103)</f>
        <v/>
      </c>
      <c r="F103" s="30">
        <f>IF(Database!B103="","",Database!F103)</f>
        <v/>
      </c>
      <c r="G103" s="30">
        <f>IF(Database!B103="","",Database!G103)</f>
        <v/>
      </c>
      <c r="H103" s="30">
        <f>IF(Database!B103="","",Database!C103)</f>
        <v/>
      </c>
      <c r="I103" s="30">
        <f>IF(Database!B103="","",Database!H103)</f>
        <v/>
      </c>
      <c r="J103" s="31" t="n"/>
      <c r="K103" s="88" t="n"/>
      <c r="L103" s="31" t="n"/>
      <c r="M103" s="31" t="n"/>
      <c r="N103" s="31" t="n"/>
      <c r="O103" s="32" t="n"/>
    </row>
    <row r="104">
      <c r="A104" s="30">
        <f>IF(Database!B104="","",ROW()-1)</f>
        <v/>
      </c>
      <c r="B104" s="30">
        <f>IF(Database!B104="","",Database!B104)</f>
        <v/>
      </c>
      <c r="C104" s="87">
        <f>IF(Database!B104="","",Database!A104)</f>
        <v/>
      </c>
      <c r="D104" s="30">
        <f>IF(Database!B104="","",Database!D104)</f>
        <v/>
      </c>
      <c r="E104" s="30">
        <f>IF(Database!B104="","",Database!E104)</f>
        <v/>
      </c>
      <c r="F104" s="30">
        <f>IF(Database!B104="","",Database!F104)</f>
        <v/>
      </c>
      <c r="G104" s="30">
        <f>IF(Database!B104="","",Database!G104)</f>
        <v/>
      </c>
      <c r="H104" s="30">
        <f>IF(Database!B104="","",Database!C104)</f>
        <v/>
      </c>
      <c r="I104" s="30">
        <f>IF(Database!B104="","",Database!H104)</f>
        <v/>
      </c>
      <c r="J104" s="31" t="n"/>
      <c r="K104" s="88" t="n"/>
      <c r="L104" s="31" t="n"/>
      <c r="M104" s="31" t="n"/>
      <c r="N104" s="31" t="n"/>
      <c r="O104" s="32" t="n"/>
    </row>
    <row r="105">
      <c r="A105" s="30">
        <f>IF(Database!B105="","",ROW()-1)</f>
        <v/>
      </c>
      <c r="B105" s="30">
        <f>IF(Database!B105="","",Database!B105)</f>
        <v/>
      </c>
      <c r="C105" s="87">
        <f>IF(Database!B105="","",Database!A105)</f>
        <v/>
      </c>
      <c r="D105" s="30">
        <f>IF(Database!B105="","",Database!D105)</f>
        <v/>
      </c>
      <c r="E105" s="30">
        <f>IF(Database!B105="","",Database!E105)</f>
        <v/>
      </c>
      <c r="F105" s="30">
        <f>IF(Database!B105="","",Database!F105)</f>
        <v/>
      </c>
      <c r="G105" s="30">
        <f>IF(Database!B105="","",Database!G105)</f>
        <v/>
      </c>
      <c r="H105" s="30">
        <f>IF(Database!B105="","",Database!C105)</f>
        <v/>
      </c>
      <c r="I105" s="30">
        <f>IF(Database!B105="","",Database!H105)</f>
        <v/>
      </c>
      <c r="J105" s="31" t="n"/>
      <c r="K105" s="88" t="n"/>
      <c r="L105" s="31" t="n"/>
      <c r="M105" s="31" t="n"/>
      <c r="N105" s="31" t="n"/>
      <c r="O105" s="32" t="n"/>
    </row>
    <row r="106">
      <c r="A106" s="30">
        <f>IF(Database!B106="","",ROW()-1)</f>
        <v/>
      </c>
      <c r="B106" s="30">
        <f>IF(Database!B106="","",Database!B106)</f>
        <v/>
      </c>
      <c r="C106" s="87">
        <f>IF(Database!B106="","",Database!A106)</f>
        <v/>
      </c>
      <c r="D106" s="30">
        <f>IF(Database!B106="","",Database!D106)</f>
        <v/>
      </c>
      <c r="E106" s="30">
        <f>IF(Database!B106="","",Database!E106)</f>
        <v/>
      </c>
      <c r="F106" s="30">
        <f>IF(Database!B106="","",Database!F106)</f>
        <v/>
      </c>
      <c r="G106" s="30">
        <f>IF(Database!B106="","",Database!G106)</f>
        <v/>
      </c>
      <c r="H106" s="30">
        <f>IF(Database!B106="","",Database!C106)</f>
        <v/>
      </c>
      <c r="I106" s="30">
        <f>IF(Database!B106="","",Database!H106)</f>
        <v/>
      </c>
      <c r="J106" s="31" t="n"/>
      <c r="K106" s="88" t="n"/>
      <c r="L106" s="31" t="n"/>
      <c r="M106" s="31" t="n"/>
      <c r="N106" s="31" t="n"/>
      <c r="O106" s="32" t="n"/>
    </row>
    <row r="107">
      <c r="A107" s="30">
        <f>IF(Database!B107="","",ROW()-1)</f>
        <v/>
      </c>
      <c r="B107" s="30">
        <f>IF(Database!B107="","",Database!B107)</f>
        <v/>
      </c>
      <c r="C107" s="87">
        <f>IF(Database!B107="","",Database!A107)</f>
        <v/>
      </c>
      <c r="D107" s="30">
        <f>IF(Database!B107="","",Database!D107)</f>
        <v/>
      </c>
      <c r="E107" s="30">
        <f>IF(Database!B107="","",Database!E107)</f>
        <v/>
      </c>
      <c r="F107" s="30">
        <f>IF(Database!B107="","",Database!F107)</f>
        <v/>
      </c>
      <c r="G107" s="30">
        <f>IF(Database!B107="","",Database!G107)</f>
        <v/>
      </c>
      <c r="H107" s="30">
        <f>IF(Database!B107="","",Database!C107)</f>
        <v/>
      </c>
      <c r="I107" s="30">
        <f>IF(Database!B107="","",Database!H107)</f>
        <v/>
      </c>
      <c r="J107" s="31" t="n"/>
      <c r="K107" s="88" t="n"/>
      <c r="L107" s="31" t="n"/>
      <c r="M107" s="31" t="n"/>
      <c r="N107" s="31" t="n"/>
      <c r="O107" s="32" t="n"/>
    </row>
    <row r="108">
      <c r="A108" s="30">
        <f>IF(Database!B108="","",ROW()-1)</f>
        <v/>
      </c>
      <c r="B108" s="30">
        <f>IF(Database!B108="","",Database!B108)</f>
        <v/>
      </c>
      <c r="C108" s="87">
        <f>IF(Database!B108="","",Database!A108)</f>
        <v/>
      </c>
      <c r="D108" s="30">
        <f>IF(Database!B108="","",Database!D108)</f>
        <v/>
      </c>
      <c r="E108" s="30">
        <f>IF(Database!B108="","",Database!E108)</f>
        <v/>
      </c>
      <c r="F108" s="30">
        <f>IF(Database!B108="","",Database!F108)</f>
        <v/>
      </c>
      <c r="G108" s="30">
        <f>IF(Database!B108="","",Database!G108)</f>
        <v/>
      </c>
      <c r="H108" s="30">
        <f>IF(Database!B108="","",Database!C108)</f>
        <v/>
      </c>
      <c r="I108" s="30">
        <f>IF(Database!B108="","",Database!H108)</f>
        <v/>
      </c>
      <c r="J108" s="31" t="n"/>
      <c r="K108" s="88" t="n"/>
      <c r="L108" s="31" t="n"/>
      <c r="M108" s="31" t="n"/>
      <c r="N108" s="31" t="n"/>
      <c r="O108" s="32" t="n"/>
    </row>
    <row r="109">
      <c r="A109" s="30">
        <f>IF(Database!B109="","",ROW()-1)</f>
        <v/>
      </c>
      <c r="B109" s="30">
        <f>IF(Database!B109="","",Database!B109)</f>
        <v/>
      </c>
      <c r="C109" s="87">
        <f>IF(Database!B109="","",Database!A109)</f>
        <v/>
      </c>
      <c r="D109" s="30">
        <f>IF(Database!B109="","",Database!D109)</f>
        <v/>
      </c>
      <c r="E109" s="30">
        <f>IF(Database!B109="","",Database!E109)</f>
        <v/>
      </c>
      <c r="F109" s="30">
        <f>IF(Database!B109="","",Database!F109)</f>
        <v/>
      </c>
      <c r="G109" s="30">
        <f>IF(Database!B109="","",Database!G109)</f>
        <v/>
      </c>
      <c r="H109" s="30">
        <f>IF(Database!B109="","",Database!C109)</f>
        <v/>
      </c>
      <c r="I109" s="30">
        <f>IF(Database!B109="","",Database!H109)</f>
        <v/>
      </c>
      <c r="J109" s="31" t="n"/>
      <c r="K109" s="88" t="n"/>
      <c r="L109" s="31" t="n"/>
      <c r="M109" s="31" t="n"/>
      <c r="N109" s="31" t="n"/>
      <c r="O109" s="32" t="n"/>
    </row>
    <row r="110">
      <c r="A110" s="30">
        <f>IF(Database!B110="","",ROW()-1)</f>
        <v/>
      </c>
      <c r="B110" s="30">
        <f>IF(Database!B110="","",Database!B110)</f>
        <v/>
      </c>
      <c r="C110" s="87">
        <f>IF(Database!B110="","",Database!A110)</f>
        <v/>
      </c>
      <c r="D110" s="30">
        <f>IF(Database!B110="","",Database!D110)</f>
        <v/>
      </c>
      <c r="E110" s="30">
        <f>IF(Database!B110="","",Database!E110)</f>
        <v/>
      </c>
      <c r="F110" s="30">
        <f>IF(Database!B110="","",Database!F110)</f>
        <v/>
      </c>
      <c r="G110" s="30">
        <f>IF(Database!B110="","",Database!G110)</f>
        <v/>
      </c>
      <c r="H110" s="30">
        <f>IF(Database!B110="","",Database!C110)</f>
        <v/>
      </c>
      <c r="I110" s="30">
        <f>IF(Database!B110="","",Database!H110)</f>
        <v/>
      </c>
      <c r="J110" s="31" t="n"/>
      <c r="K110" s="88" t="n"/>
      <c r="L110" s="31" t="n"/>
      <c r="M110" s="31" t="n"/>
      <c r="N110" s="31" t="n"/>
      <c r="O110" s="32" t="n"/>
    </row>
    <row r="111">
      <c r="A111" s="30">
        <f>IF(Database!B111="","",ROW()-1)</f>
        <v/>
      </c>
      <c r="B111" s="30">
        <f>IF(Database!B111="","",Database!B111)</f>
        <v/>
      </c>
      <c r="C111" s="87">
        <f>IF(Database!B111="","",Database!A111)</f>
        <v/>
      </c>
      <c r="D111" s="30">
        <f>IF(Database!B111="","",Database!D111)</f>
        <v/>
      </c>
      <c r="E111" s="30">
        <f>IF(Database!B111="","",Database!E111)</f>
        <v/>
      </c>
      <c r="F111" s="30">
        <f>IF(Database!B111="","",Database!F111)</f>
        <v/>
      </c>
      <c r="G111" s="30">
        <f>IF(Database!B111="","",Database!G111)</f>
        <v/>
      </c>
      <c r="H111" s="30">
        <f>IF(Database!B111="","",Database!C111)</f>
        <v/>
      </c>
      <c r="I111" s="30">
        <f>IF(Database!B111="","",Database!H111)</f>
        <v/>
      </c>
      <c r="J111" s="31" t="n"/>
      <c r="K111" s="88" t="n"/>
      <c r="L111" s="31" t="n"/>
      <c r="M111" s="31" t="n"/>
      <c r="N111" s="31" t="n"/>
      <c r="O111" s="32" t="n"/>
    </row>
    <row r="112">
      <c r="A112" s="30">
        <f>IF(Database!B112="","",ROW()-1)</f>
        <v/>
      </c>
      <c r="B112" s="30">
        <f>IF(Database!B112="","",Database!B112)</f>
        <v/>
      </c>
      <c r="C112" s="87">
        <f>IF(Database!B112="","",Database!A112)</f>
        <v/>
      </c>
      <c r="D112" s="30">
        <f>IF(Database!B112="","",Database!D112)</f>
        <v/>
      </c>
      <c r="E112" s="30">
        <f>IF(Database!B112="","",Database!E112)</f>
        <v/>
      </c>
      <c r="F112" s="30">
        <f>IF(Database!B112="","",Database!F112)</f>
        <v/>
      </c>
      <c r="G112" s="30">
        <f>IF(Database!B112="","",Database!G112)</f>
        <v/>
      </c>
      <c r="H112" s="30">
        <f>IF(Database!B112="","",Database!C112)</f>
        <v/>
      </c>
      <c r="I112" s="30">
        <f>IF(Database!B112="","",Database!H112)</f>
        <v/>
      </c>
      <c r="J112" s="31" t="n"/>
      <c r="K112" s="88" t="n"/>
      <c r="L112" s="31" t="n"/>
      <c r="M112" s="31" t="n"/>
      <c r="N112" s="31" t="n"/>
      <c r="O112" s="32" t="n"/>
    </row>
    <row r="113">
      <c r="A113" s="30">
        <f>IF(Database!B113="","",ROW()-1)</f>
        <v/>
      </c>
      <c r="B113" s="30">
        <f>IF(Database!B113="","",Database!B113)</f>
        <v/>
      </c>
      <c r="C113" s="87">
        <f>IF(Database!B113="","",Database!A113)</f>
        <v/>
      </c>
      <c r="D113" s="30">
        <f>IF(Database!B113="","",Database!D113)</f>
        <v/>
      </c>
      <c r="E113" s="30">
        <f>IF(Database!B113="","",Database!E113)</f>
        <v/>
      </c>
      <c r="F113" s="30">
        <f>IF(Database!B113="","",Database!F113)</f>
        <v/>
      </c>
      <c r="G113" s="30">
        <f>IF(Database!B113="","",Database!G113)</f>
        <v/>
      </c>
      <c r="H113" s="30">
        <f>IF(Database!B113="","",Database!C113)</f>
        <v/>
      </c>
      <c r="I113" s="30">
        <f>IF(Database!B113="","",Database!H113)</f>
        <v/>
      </c>
      <c r="J113" s="31" t="n"/>
      <c r="K113" s="88" t="n"/>
      <c r="L113" s="31" t="n"/>
      <c r="M113" s="31" t="n"/>
      <c r="N113" s="31" t="n"/>
      <c r="O113" s="32" t="n"/>
    </row>
    <row r="114">
      <c r="A114" s="30">
        <f>IF(Database!B114="","",ROW()-1)</f>
        <v/>
      </c>
      <c r="B114" s="30">
        <f>IF(Database!B114="","",Database!B114)</f>
        <v/>
      </c>
      <c r="C114" s="87">
        <f>IF(Database!B114="","",Database!A114)</f>
        <v/>
      </c>
      <c r="D114" s="30">
        <f>IF(Database!B114="","",Database!D114)</f>
        <v/>
      </c>
      <c r="E114" s="30">
        <f>IF(Database!B114="","",Database!E114)</f>
        <v/>
      </c>
      <c r="F114" s="30">
        <f>IF(Database!B114="","",Database!F114)</f>
        <v/>
      </c>
      <c r="G114" s="30">
        <f>IF(Database!B114="","",Database!G114)</f>
        <v/>
      </c>
      <c r="H114" s="30">
        <f>IF(Database!B114="","",Database!C114)</f>
        <v/>
      </c>
      <c r="I114" s="30">
        <f>IF(Database!B114="","",Database!H114)</f>
        <v/>
      </c>
      <c r="J114" s="31" t="n"/>
      <c r="K114" s="88" t="n"/>
      <c r="L114" s="31" t="n"/>
      <c r="M114" s="31" t="n"/>
      <c r="N114" s="31" t="n"/>
      <c r="O114" s="32" t="n"/>
    </row>
    <row r="115">
      <c r="A115" s="30">
        <f>IF(Database!B115="","",ROW()-1)</f>
        <v/>
      </c>
      <c r="B115" s="30">
        <f>IF(Database!B115="","",Database!B115)</f>
        <v/>
      </c>
      <c r="C115" s="87">
        <f>IF(Database!B115="","",Database!A115)</f>
        <v/>
      </c>
      <c r="D115" s="30">
        <f>IF(Database!B115="","",Database!D115)</f>
        <v/>
      </c>
      <c r="E115" s="30">
        <f>IF(Database!B115="","",Database!E115)</f>
        <v/>
      </c>
      <c r="F115" s="30">
        <f>IF(Database!B115="","",Database!F115)</f>
        <v/>
      </c>
      <c r="G115" s="30">
        <f>IF(Database!B115="","",Database!G115)</f>
        <v/>
      </c>
      <c r="H115" s="30">
        <f>IF(Database!B115="","",Database!C115)</f>
        <v/>
      </c>
      <c r="I115" s="30">
        <f>IF(Database!B115="","",Database!H115)</f>
        <v/>
      </c>
      <c r="J115" s="31" t="n"/>
      <c r="K115" s="88" t="n"/>
      <c r="L115" s="31" t="n"/>
      <c r="M115" s="31" t="n"/>
      <c r="N115" s="31" t="n"/>
      <c r="O115" s="32" t="n"/>
    </row>
    <row r="116">
      <c r="A116" s="30">
        <f>IF(Database!B116="","",ROW()-1)</f>
        <v/>
      </c>
      <c r="B116" s="30">
        <f>IF(Database!B116="","",Database!B116)</f>
        <v/>
      </c>
      <c r="C116" s="87">
        <f>IF(Database!B116="","",Database!A116)</f>
        <v/>
      </c>
      <c r="D116" s="30">
        <f>IF(Database!B116="","",Database!D116)</f>
        <v/>
      </c>
      <c r="E116" s="30">
        <f>IF(Database!B116="","",Database!E116)</f>
        <v/>
      </c>
      <c r="F116" s="30">
        <f>IF(Database!B116="","",Database!F116)</f>
        <v/>
      </c>
      <c r="G116" s="30">
        <f>IF(Database!B116="","",Database!G116)</f>
        <v/>
      </c>
      <c r="H116" s="30">
        <f>IF(Database!B116="","",Database!C116)</f>
        <v/>
      </c>
      <c r="I116" s="30">
        <f>IF(Database!B116="","",Database!H116)</f>
        <v/>
      </c>
      <c r="J116" s="31" t="n"/>
      <c r="K116" s="88" t="n"/>
      <c r="L116" s="31" t="n"/>
      <c r="M116" s="31" t="n"/>
      <c r="N116" s="31" t="n"/>
      <c r="O116" s="32" t="n"/>
    </row>
    <row r="117">
      <c r="A117" s="30">
        <f>IF(Database!B117="","",ROW()-1)</f>
        <v/>
      </c>
      <c r="B117" s="30">
        <f>IF(Database!B117="","",Database!B117)</f>
        <v/>
      </c>
      <c r="C117" s="87">
        <f>IF(Database!B117="","",Database!A117)</f>
        <v/>
      </c>
      <c r="D117" s="30">
        <f>IF(Database!B117="","",Database!D117)</f>
        <v/>
      </c>
      <c r="E117" s="30">
        <f>IF(Database!B117="","",Database!E117)</f>
        <v/>
      </c>
      <c r="F117" s="30">
        <f>IF(Database!B117="","",Database!F117)</f>
        <v/>
      </c>
      <c r="G117" s="30">
        <f>IF(Database!B117="","",Database!G117)</f>
        <v/>
      </c>
      <c r="H117" s="30">
        <f>IF(Database!B117="","",Database!C117)</f>
        <v/>
      </c>
      <c r="I117" s="30">
        <f>IF(Database!B117="","",Database!H117)</f>
        <v/>
      </c>
      <c r="J117" s="31" t="n"/>
      <c r="K117" s="88" t="n"/>
      <c r="L117" s="31" t="n"/>
      <c r="M117" s="31" t="n"/>
      <c r="N117" s="31" t="n"/>
      <c r="O117" s="32" t="n"/>
    </row>
    <row r="118">
      <c r="A118" s="30">
        <f>IF(Database!B118="","",ROW()-1)</f>
        <v/>
      </c>
      <c r="B118" s="30">
        <f>IF(Database!B118="","",Database!B118)</f>
        <v/>
      </c>
      <c r="C118" s="87">
        <f>IF(Database!B118="","",Database!A118)</f>
        <v/>
      </c>
      <c r="D118" s="30">
        <f>IF(Database!B118="","",Database!D118)</f>
        <v/>
      </c>
      <c r="E118" s="30">
        <f>IF(Database!B118="","",Database!E118)</f>
        <v/>
      </c>
      <c r="F118" s="30">
        <f>IF(Database!B118="","",Database!F118)</f>
        <v/>
      </c>
      <c r="G118" s="30">
        <f>IF(Database!B118="","",Database!G118)</f>
        <v/>
      </c>
      <c r="H118" s="30">
        <f>IF(Database!B118="","",Database!C118)</f>
        <v/>
      </c>
      <c r="I118" s="30">
        <f>IF(Database!B118="","",Database!H118)</f>
        <v/>
      </c>
      <c r="J118" s="31" t="n"/>
      <c r="K118" s="88" t="n"/>
      <c r="L118" s="31" t="n"/>
      <c r="M118" s="31" t="n"/>
      <c r="N118" s="31" t="n"/>
      <c r="O118" s="32" t="n"/>
    </row>
    <row r="119">
      <c r="A119" s="30">
        <f>IF(Database!B119="","",ROW()-1)</f>
        <v/>
      </c>
      <c r="B119" s="30">
        <f>IF(Database!B119="","",Database!B119)</f>
        <v/>
      </c>
      <c r="C119" s="87">
        <f>IF(Database!B119="","",Database!A119)</f>
        <v/>
      </c>
      <c r="D119" s="30">
        <f>IF(Database!B119="","",Database!D119)</f>
        <v/>
      </c>
      <c r="E119" s="30">
        <f>IF(Database!B119="","",Database!E119)</f>
        <v/>
      </c>
      <c r="F119" s="30">
        <f>IF(Database!B119="","",Database!F119)</f>
        <v/>
      </c>
      <c r="G119" s="30">
        <f>IF(Database!B119="","",Database!G119)</f>
        <v/>
      </c>
      <c r="H119" s="30">
        <f>IF(Database!B119="","",Database!C119)</f>
        <v/>
      </c>
      <c r="I119" s="30">
        <f>IF(Database!B119="","",Database!H119)</f>
        <v/>
      </c>
      <c r="J119" s="31" t="n"/>
      <c r="K119" s="88" t="n"/>
      <c r="L119" s="31" t="n"/>
      <c r="M119" s="31" t="n"/>
      <c r="N119" s="31" t="n"/>
      <c r="O119" s="32" t="n"/>
    </row>
    <row r="120">
      <c r="A120" s="30">
        <f>IF(Database!B120="","",ROW()-1)</f>
        <v/>
      </c>
      <c r="B120" s="30">
        <f>IF(Database!B120="","",Database!B120)</f>
        <v/>
      </c>
      <c r="C120" s="87">
        <f>IF(Database!B120="","",Database!A120)</f>
        <v/>
      </c>
      <c r="D120" s="30">
        <f>IF(Database!B120="","",Database!D120)</f>
        <v/>
      </c>
      <c r="E120" s="30">
        <f>IF(Database!B120="","",Database!E120)</f>
        <v/>
      </c>
      <c r="F120" s="30">
        <f>IF(Database!B120="","",Database!F120)</f>
        <v/>
      </c>
      <c r="G120" s="30">
        <f>IF(Database!B120="","",Database!G120)</f>
        <v/>
      </c>
      <c r="H120" s="30">
        <f>IF(Database!B120="","",Database!C120)</f>
        <v/>
      </c>
      <c r="I120" s="30">
        <f>IF(Database!B120="","",Database!H120)</f>
        <v/>
      </c>
      <c r="J120" s="31" t="n"/>
      <c r="K120" s="88" t="n"/>
      <c r="L120" s="31" t="n"/>
      <c r="M120" s="31" t="n"/>
      <c r="N120" s="31" t="n"/>
      <c r="O120" s="32" t="n"/>
    </row>
    <row r="121">
      <c r="A121" s="30">
        <f>IF(Database!B121="","",ROW()-1)</f>
        <v/>
      </c>
      <c r="B121" s="30">
        <f>IF(Database!B121="","",Database!B121)</f>
        <v/>
      </c>
      <c r="C121" s="87">
        <f>IF(Database!B121="","",Database!A121)</f>
        <v/>
      </c>
      <c r="D121" s="30">
        <f>IF(Database!B121="","",Database!D121)</f>
        <v/>
      </c>
      <c r="E121" s="30">
        <f>IF(Database!B121="","",Database!E121)</f>
        <v/>
      </c>
      <c r="F121" s="30">
        <f>IF(Database!B121="","",Database!F121)</f>
        <v/>
      </c>
      <c r="G121" s="30">
        <f>IF(Database!B121="","",Database!G121)</f>
        <v/>
      </c>
      <c r="H121" s="30">
        <f>IF(Database!B121="","",Database!C121)</f>
        <v/>
      </c>
      <c r="I121" s="30">
        <f>IF(Database!B121="","",Database!H121)</f>
        <v/>
      </c>
      <c r="J121" s="31" t="n"/>
      <c r="K121" s="88" t="n"/>
      <c r="L121" s="31" t="n"/>
      <c r="M121" s="31" t="n"/>
      <c r="N121" s="31" t="n"/>
      <c r="O121" s="32" t="n"/>
    </row>
    <row r="122">
      <c r="A122" s="30">
        <f>IF(Database!B122="","",ROW()-1)</f>
        <v/>
      </c>
      <c r="B122" s="30">
        <f>IF(Database!B122="","",Database!B122)</f>
        <v/>
      </c>
      <c r="C122" s="87">
        <f>IF(Database!B122="","",Database!A122)</f>
        <v/>
      </c>
      <c r="D122" s="30">
        <f>IF(Database!B122="","",Database!D122)</f>
        <v/>
      </c>
      <c r="E122" s="30">
        <f>IF(Database!B122="","",Database!E122)</f>
        <v/>
      </c>
      <c r="F122" s="30">
        <f>IF(Database!B122="","",Database!F122)</f>
        <v/>
      </c>
      <c r="G122" s="30">
        <f>IF(Database!B122="","",Database!G122)</f>
        <v/>
      </c>
      <c r="H122" s="30">
        <f>IF(Database!B122="","",Database!C122)</f>
        <v/>
      </c>
      <c r="I122" s="30">
        <f>IF(Database!B122="","",Database!H122)</f>
        <v/>
      </c>
      <c r="J122" s="31" t="n"/>
      <c r="K122" s="88" t="n"/>
      <c r="L122" s="31" t="n"/>
      <c r="M122" s="31" t="n"/>
      <c r="N122" s="31" t="n"/>
      <c r="O122" s="32" t="n"/>
    </row>
    <row r="123">
      <c r="A123" s="30">
        <f>IF(Database!B123="","",ROW()-1)</f>
        <v/>
      </c>
      <c r="B123" s="30">
        <f>IF(Database!B123="","",Database!B123)</f>
        <v/>
      </c>
      <c r="C123" s="87">
        <f>IF(Database!B123="","",Database!A123)</f>
        <v/>
      </c>
      <c r="D123" s="30">
        <f>IF(Database!B123="","",Database!D123)</f>
        <v/>
      </c>
      <c r="E123" s="30">
        <f>IF(Database!B123="","",Database!E123)</f>
        <v/>
      </c>
      <c r="F123" s="30">
        <f>IF(Database!B123="","",Database!F123)</f>
        <v/>
      </c>
      <c r="G123" s="30">
        <f>IF(Database!B123="","",Database!G123)</f>
        <v/>
      </c>
      <c r="H123" s="30">
        <f>IF(Database!B123="","",Database!C123)</f>
        <v/>
      </c>
      <c r="I123" s="30">
        <f>IF(Database!B123="","",Database!H123)</f>
        <v/>
      </c>
      <c r="J123" s="31" t="n"/>
      <c r="K123" s="88" t="n"/>
      <c r="L123" s="31" t="n"/>
      <c r="M123" s="31" t="n"/>
      <c r="N123" s="31" t="n"/>
      <c r="O123" s="32" t="n"/>
    </row>
    <row r="124">
      <c r="A124" s="30">
        <f>IF(Database!B124="","",ROW()-1)</f>
        <v/>
      </c>
      <c r="B124" s="30">
        <f>IF(Database!B124="","",Database!B124)</f>
        <v/>
      </c>
      <c r="C124" s="87">
        <f>IF(Database!B124="","",Database!A124)</f>
        <v/>
      </c>
      <c r="D124" s="30">
        <f>IF(Database!B124="","",Database!D124)</f>
        <v/>
      </c>
      <c r="E124" s="30">
        <f>IF(Database!B124="","",Database!E124)</f>
        <v/>
      </c>
      <c r="F124" s="30">
        <f>IF(Database!B124="","",Database!F124)</f>
        <v/>
      </c>
      <c r="G124" s="30">
        <f>IF(Database!B124="","",Database!G124)</f>
        <v/>
      </c>
      <c r="H124" s="30">
        <f>IF(Database!B124="","",Database!C124)</f>
        <v/>
      </c>
      <c r="I124" s="30">
        <f>IF(Database!B124="","",Database!H124)</f>
        <v/>
      </c>
      <c r="J124" s="31" t="n"/>
      <c r="K124" s="88" t="n"/>
      <c r="L124" s="31" t="n"/>
      <c r="M124" s="31" t="n"/>
      <c r="N124" s="31" t="n"/>
      <c r="O124" s="32" t="n"/>
    </row>
    <row r="125">
      <c r="A125" s="30">
        <f>IF(Database!B125="","",ROW()-1)</f>
        <v/>
      </c>
      <c r="B125" s="30">
        <f>IF(Database!B125="","",Database!B125)</f>
        <v/>
      </c>
      <c r="C125" s="87">
        <f>IF(Database!B125="","",Database!A125)</f>
        <v/>
      </c>
      <c r="D125" s="30">
        <f>IF(Database!B125="","",Database!D125)</f>
        <v/>
      </c>
      <c r="E125" s="30">
        <f>IF(Database!B125="","",Database!E125)</f>
        <v/>
      </c>
      <c r="F125" s="30">
        <f>IF(Database!B125="","",Database!F125)</f>
        <v/>
      </c>
      <c r="G125" s="30">
        <f>IF(Database!B125="","",Database!G125)</f>
        <v/>
      </c>
      <c r="H125" s="30">
        <f>IF(Database!B125="","",Database!C125)</f>
        <v/>
      </c>
      <c r="I125" s="30">
        <f>IF(Database!B125="","",Database!H125)</f>
        <v/>
      </c>
      <c r="J125" s="31" t="n"/>
      <c r="K125" s="88" t="n"/>
      <c r="L125" s="31" t="n"/>
      <c r="M125" s="31" t="n"/>
      <c r="N125" s="31" t="n"/>
      <c r="O125" s="32" t="n"/>
    </row>
    <row r="126">
      <c r="A126" s="30">
        <f>IF(Database!B126="","",ROW()-1)</f>
        <v/>
      </c>
      <c r="B126" s="30">
        <f>IF(Database!B126="","",Database!B126)</f>
        <v/>
      </c>
      <c r="C126" s="87">
        <f>IF(Database!B126="","",Database!A126)</f>
        <v/>
      </c>
      <c r="D126" s="30">
        <f>IF(Database!B126="","",Database!D126)</f>
        <v/>
      </c>
      <c r="E126" s="30">
        <f>IF(Database!B126="","",Database!E126)</f>
        <v/>
      </c>
      <c r="F126" s="30">
        <f>IF(Database!B126="","",Database!F126)</f>
        <v/>
      </c>
      <c r="G126" s="30">
        <f>IF(Database!B126="","",Database!G126)</f>
        <v/>
      </c>
      <c r="H126" s="30">
        <f>IF(Database!B126="","",Database!C126)</f>
        <v/>
      </c>
      <c r="I126" s="30">
        <f>IF(Database!B126="","",Database!H126)</f>
        <v/>
      </c>
      <c r="J126" s="31" t="n"/>
      <c r="K126" s="88" t="n"/>
      <c r="L126" s="31" t="n"/>
      <c r="M126" s="31" t="n"/>
      <c r="N126" s="31" t="n"/>
      <c r="O126" s="32" t="n"/>
    </row>
    <row r="127">
      <c r="A127" s="30">
        <f>IF(Database!B127="","",ROW()-1)</f>
        <v/>
      </c>
      <c r="B127" s="30">
        <f>IF(Database!B127="","",Database!B127)</f>
        <v/>
      </c>
      <c r="C127" s="87">
        <f>IF(Database!B127="","",Database!A127)</f>
        <v/>
      </c>
      <c r="D127" s="30">
        <f>IF(Database!B127="","",Database!D127)</f>
        <v/>
      </c>
      <c r="E127" s="30">
        <f>IF(Database!B127="","",Database!E127)</f>
        <v/>
      </c>
      <c r="F127" s="30">
        <f>IF(Database!B127="","",Database!F127)</f>
        <v/>
      </c>
      <c r="G127" s="30">
        <f>IF(Database!B127="","",Database!G127)</f>
        <v/>
      </c>
      <c r="H127" s="30">
        <f>IF(Database!B127="","",Database!C127)</f>
        <v/>
      </c>
      <c r="I127" s="30">
        <f>IF(Database!B127="","",Database!H127)</f>
        <v/>
      </c>
      <c r="J127" s="31" t="n"/>
      <c r="K127" s="88" t="n"/>
      <c r="L127" s="31" t="n"/>
      <c r="M127" s="31" t="n"/>
      <c r="N127" s="31" t="n"/>
      <c r="O127" s="32" t="n"/>
    </row>
    <row r="128">
      <c r="A128" s="30">
        <f>IF(Database!B128="","",ROW()-1)</f>
        <v/>
      </c>
      <c r="B128" s="30">
        <f>IF(Database!B128="","",Database!B128)</f>
        <v/>
      </c>
      <c r="C128" s="87">
        <f>IF(Database!B128="","",Database!A128)</f>
        <v/>
      </c>
      <c r="D128" s="30">
        <f>IF(Database!B128="","",Database!D128)</f>
        <v/>
      </c>
      <c r="E128" s="30">
        <f>IF(Database!B128="","",Database!E128)</f>
        <v/>
      </c>
      <c r="F128" s="30">
        <f>IF(Database!B128="","",Database!F128)</f>
        <v/>
      </c>
      <c r="G128" s="30">
        <f>IF(Database!B128="","",Database!G128)</f>
        <v/>
      </c>
      <c r="H128" s="30">
        <f>IF(Database!B128="","",Database!C128)</f>
        <v/>
      </c>
      <c r="I128" s="30">
        <f>IF(Database!B128="","",Database!H128)</f>
        <v/>
      </c>
      <c r="J128" s="31" t="n"/>
      <c r="K128" s="88" t="n"/>
      <c r="L128" s="31" t="n"/>
      <c r="M128" s="31" t="n"/>
      <c r="N128" s="31" t="n"/>
      <c r="O128" s="32" t="n"/>
    </row>
    <row r="129">
      <c r="A129" s="30">
        <f>IF(Database!B129="","",ROW()-1)</f>
        <v/>
      </c>
      <c r="B129" s="30">
        <f>IF(Database!B129="","",Database!B129)</f>
        <v/>
      </c>
      <c r="C129" s="87">
        <f>IF(Database!B129="","",Database!A129)</f>
        <v/>
      </c>
      <c r="D129" s="30">
        <f>IF(Database!B129="","",Database!D129)</f>
        <v/>
      </c>
      <c r="E129" s="30">
        <f>IF(Database!B129="","",Database!E129)</f>
        <v/>
      </c>
      <c r="F129" s="30">
        <f>IF(Database!B129="","",Database!F129)</f>
        <v/>
      </c>
      <c r="G129" s="30">
        <f>IF(Database!B129="","",Database!G129)</f>
        <v/>
      </c>
      <c r="H129" s="30">
        <f>IF(Database!B129="","",Database!C129)</f>
        <v/>
      </c>
      <c r="I129" s="30">
        <f>IF(Database!B129="","",Database!H129)</f>
        <v/>
      </c>
      <c r="J129" s="31" t="n"/>
      <c r="K129" s="88" t="n"/>
      <c r="L129" s="31" t="n"/>
      <c r="M129" s="31" t="n"/>
      <c r="N129" s="31" t="n"/>
      <c r="O129" s="32" t="n"/>
    </row>
    <row r="130">
      <c r="A130" s="30">
        <f>IF(Database!B130="","",ROW()-1)</f>
        <v/>
      </c>
      <c r="B130" s="30">
        <f>IF(Database!B130="","",Database!B130)</f>
        <v/>
      </c>
      <c r="C130" s="87">
        <f>IF(Database!B130="","",Database!A130)</f>
        <v/>
      </c>
      <c r="D130" s="30">
        <f>IF(Database!B130="","",Database!D130)</f>
        <v/>
      </c>
      <c r="E130" s="30">
        <f>IF(Database!B130="","",Database!E130)</f>
        <v/>
      </c>
      <c r="F130" s="30">
        <f>IF(Database!B130="","",Database!F130)</f>
        <v/>
      </c>
      <c r="G130" s="30">
        <f>IF(Database!B130="","",Database!G130)</f>
        <v/>
      </c>
      <c r="H130" s="30">
        <f>IF(Database!B130="","",Database!C130)</f>
        <v/>
      </c>
      <c r="I130" s="30">
        <f>IF(Database!B130="","",Database!H130)</f>
        <v/>
      </c>
      <c r="J130" s="31" t="n"/>
      <c r="K130" s="88" t="n"/>
      <c r="L130" s="31" t="n"/>
      <c r="M130" s="31" t="n"/>
      <c r="N130" s="31" t="n"/>
      <c r="O130" s="32" t="n"/>
    </row>
    <row r="131">
      <c r="A131" s="30">
        <f>IF(Database!B131="","",ROW()-1)</f>
        <v/>
      </c>
      <c r="B131" s="30">
        <f>IF(Database!B131="","",Database!B131)</f>
        <v/>
      </c>
      <c r="C131" s="87">
        <f>IF(Database!B131="","",Database!A131)</f>
        <v/>
      </c>
      <c r="D131" s="30">
        <f>IF(Database!B131="","",Database!D131)</f>
        <v/>
      </c>
      <c r="E131" s="30">
        <f>IF(Database!B131="","",Database!E131)</f>
        <v/>
      </c>
      <c r="F131" s="30">
        <f>IF(Database!B131="","",Database!F131)</f>
        <v/>
      </c>
      <c r="G131" s="30">
        <f>IF(Database!B131="","",Database!G131)</f>
        <v/>
      </c>
      <c r="H131" s="30">
        <f>IF(Database!B131="","",Database!C131)</f>
        <v/>
      </c>
      <c r="I131" s="30">
        <f>IF(Database!B131="","",Database!H131)</f>
        <v/>
      </c>
      <c r="J131" s="31" t="n"/>
      <c r="K131" s="88" t="n"/>
      <c r="L131" s="31" t="n"/>
      <c r="M131" s="31" t="n"/>
      <c r="N131" s="31" t="n"/>
      <c r="O131" s="32" t="n"/>
    </row>
    <row r="132">
      <c r="A132" s="30">
        <f>IF(Database!B132="","",ROW()-1)</f>
        <v/>
      </c>
      <c r="B132" s="30">
        <f>IF(Database!B132="","",Database!B132)</f>
        <v/>
      </c>
      <c r="C132" s="87">
        <f>IF(Database!B132="","",Database!A132)</f>
        <v/>
      </c>
      <c r="D132" s="30">
        <f>IF(Database!B132="","",Database!D132)</f>
        <v/>
      </c>
      <c r="E132" s="30">
        <f>IF(Database!B132="","",Database!E132)</f>
        <v/>
      </c>
      <c r="F132" s="30">
        <f>IF(Database!B132="","",Database!F132)</f>
        <v/>
      </c>
      <c r="G132" s="30">
        <f>IF(Database!B132="","",Database!G132)</f>
        <v/>
      </c>
      <c r="H132" s="30">
        <f>IF(Database!B132="","",Database!C132)</f>
        <v/>
      </c>
      <c r="I132" s="30">
        <f>IF(Database!B132="","",Database!H132)</f>
        <v/>
      </c>
      <c r="J132" s="31" t="n"/>
      <c r="K132" s="88" t="n"/>
      <c r="L132" s="31" t="n"/>
      <c r="M132" s="31" t="n"/>
      <c r="N132" s="31" t="n"/>
      <c r="O132" s="32" t="n"/>
    </row>
    <row r="133">
      <c r="A133" s="30">
        <f>IF(Database!B133="","",ROW()-1)</f>
        <v/>
      </c>
      <c r="B133" s="30">
        <f>IF(Database!B133="","",Database!B133)</f>
        <v/>
      </c>
      <c r="C133" s="87">
        <f>IF(Database!B133="","",Database!A133)</f>
        <v/>
      </c>
      <c r="D133" s="30">
        <f>IF(Database!B133="","",Database!D133)</f>
        <v/>
      </c>
      <c r="E133" s="30">
        <f>IF(Database!B133="","",Database!E133)</f>
        <v/>
      </c>
      <c r="F133" s="30">
        <f>IF(Database!B133="","",Database!F133)</f>
        <v/>
      </c>
      <c r="G133" s="30">
        <f>IF(Database!B133="","",Database!G133)</f>
        <v/>
      </c>
      <c r="H133" s="30">
        <f>IF(Database!B133="","",Database!C133)</f>
        <v/>
      </c>
      <c r="I133" s="30">
        <f>IF(Database!B133="","",Database!H133)</f>
        <v/>
      </c>
      <c r="J133" s="31" t="n"/>
      <c r="K133" s="88" t="n"/>
      <c r="L133" s="31" t="n"/>
      <c r="M133" s="31" t="n"/>
      <c r="N133" s="31" t="n"/>
      <c r="O133" s="32" t="n"/>
    </row>
    <row r="134">
      <c r="A134" s="30">
        <f>IF(Database!B134="","",ROW()-1)</f>
        <v/>
      </c>
      <c r="B134" s="30">
        <f>IF(Database!B134="","",Database!B134)</f>
        <v/>
      </c>
      <c r="C134" s="87">
        <f>IF(Database!B134="","",Database!A134)</f>
        <v/>
      </c>
      <c r="D134" s="30">
        <f>IF(Database!B134="","",Database!D134)</f>
        <v/>
      </c>
      <c r="E134" s="30">
        <f>IF(Database!B134="","",Database!E134)</f>
        <v/>
      </c>
      <c r="F134" s="30">
        <f>IF(Database!B134="","",Database!F134)</f>
        <v/>
      </c>
      <c r="G134" s="30">
        <f>IF(Database!B134="","",Database!G134)</f>
        <v/>
      </c>
      <c r="H134" s="30">
        <f>IF(Database!B134="","",Database!C134)</f>
        <v/>
      </c>
      <c r="I134" s="30">
        <f>IF(Database!B134="","",Database!H134)</f>
        <v/>
      </c>
      <c r="J134" s="31" t="n"/>
      <c r="K134" s="88" t="n"/>
      <c r="L134" s="31" t="n"/>
      <c r="M134" s="31" t="n"/>
      <c r="N134" s="31" t="n"/>
      <c r="O134" s="32" t="n"/>
    </row>
    <row r="135">
      <c r="A135" s="30">
        <f>IF(Database!B135="","",ROW()-1)</f>
        <v/>
      </c>
      <c r="B135" s="30">
        <f>IF(Database!B135="","",Database!B135)</f>
        <v/>
      </c>
      <c r="C135" s="87">
        <f>IF(Database!B135="","",Database!A135)</f>
        <v/>
      </c>
      <c r="D135" s="30">
        <f>IF(Database!B135="","",Database!D135)</f>
        <v/>
      </c>
      <c r="E135" s="30">
        <f>IF(Database!B135="","",Database!E135)</f>
        <v/>
      </c>
      <c r="F135" s="30">
        <f>IF(Database!B135="","",Database!F135)</f>
        <v/>
      </c>
      <c r="G135" s="30">
        <f>IF(Database!B135="","",Database!G135)</f>
        <v/>
      </c>
      <c r="H135" s="30">
        <f>IF(Database!B135="","",Database!C135)</f>
        <v/>
      </c>
      <c r="I135" s="30">
        <f>IF(Database!B135="","",Database!H135)</f>
        <v/>
      </c>
      <c r="J135" s="31" t="n"/>
      <c r="K135" s="88" t="n"/>
      <c r="L135" s="31" t="n"/>
      <c r="M135" s="31" t="n"/>
      <c r="N135" s="31" t="n"/>
      <c r="O135" s="32" t="n"/>
    </row>
    <row r="136">
      <c r="A136" s="30">
        <f>IF(Database!B136="","",ROW()-1)</f>
        <v/>
      </c>
      <c r="B136" s="30">
        <f>IF(Database!B136="","",Database!B136)</f>
        <v/>
      </c>
      <c r="C136" s="87">
        <f>IF(Database!B136="","",Database!A136)</f>
        <v/>
      </c>
      <c r="D136" s="30">
        <f>IF(Database!B136="","",Database!D136)</f>
        <v/>
      </c>
      <c r="E136" s="30">
        <f>IF(Database!B136="","",Database!E136)</f>
        <v/>
      </c>
      <c r="F136" s="30">
        <f>IF(Database!B136="","",Database!F136)</f>
        <v/>
      </c>
      <c r="G136" s="30">
        <f>IF(Database!B136="","",Database!G136)</f>
        <v/>
      </c>
      <c r="H136" s="30">
        <f>IF(Database!B136="","",Database!C136)</f>
        <v/>
      </c>
      <c r="I136" s="30">
        <f>IF(Database!B136="","",Database!H136)</f>
        <v/>
      </c>
      <c r="J136" s="31" t="n"/>
      <c r="K136" s="88" t="n"/>
      <c r="L136" s="31" t="n"/>
      <c r="M136" s="31" t="n"/>
      <c r="N136" s="31" t="n"/>
      <c r="O136" s="32" t="n"/>
    </row>
    <row r="137">
      <c r="A137" s="30">
        <f>IF(Database!B137="","",ROW()-1)</f>
        <v/>
      </c>
      <c r="B137" s="30">
        <f>IF(Database!B137="","",Database!B137)</f>
        <v/>
      </c>
      <c r="C137" s="87">
        <f>IF(Database!B137="","",Database!A137)</f>
        <v/>
      </c>
      <c r="D137" s="30">
        <f>IF(Database!B137="","",Database!D137)</f>
        <v/>
      </c>
      <c r="E137" s="30">
        <f>IF(Database!B137="","",Database!E137)</f>
        <v/>
      </c>
      <c r="F137" s="30">
        <f>IF(Database!B137="","",Database!F137)</f>
        <v/>
      </c>
      <c r="G137" s="30">
        <f>IF(Database!B137="","",Database!G137)</f>
        <v/>
      </c>
      <c r="H137" s="30">
        <f>IF(Database!B137="","",Database!C137)</f>
        <v/>
      </c>
      <c r="I137" s="30">
        <f>IF(Database!B137="","",Database!H137)</f>
        <v/>
      </c>
      <c r="J137" s="31" t="n"/>
      <c r="K137" s="88" t="n"/>
      <c r="L137" s="31" t="n"/>
      <c r="M137" s="31" t="n"/>
      <c r="N137" s="31" t="n"/>
      <c r="O137" s="32" t="n"/>
    </row>
    <row r="138">
      <c r="A138" s="30">
        <f>IF(Database!B138="","",ROW()-1)</f>
        <v/>
      </c>
      <c r="B138" s="30">
        <f>IF(Database!B138="","",Database!B138)</f>
        <v/>
      </c>
      <c r="C138" s="87">
        <f>IF(Database!B138="","",Database!A138)</f>
        <v/>
      </c>
      <c r="D138" s="30">
        <f>IF(Database!B138="","",Database!D138)</f>
        <v/>
      </c>
      <c r="E138" s="30">
        <f>IF(Database!B138="","",Database!E138)</f>
        <v/>
      </c>
      <c r="F138" s="30">
        <f>IF(Database!B138="","",Database!F138)</f>
        <v/>
      </c>
      <c r="G138" s="30">
        <f>IF(Database!B138="","",Database!G138)</f>
        <v/>
      </c>
      <c r="H138" s="30">
        <f>IF(Database!B138="","",Database!C138)</f>
        <v/>
      </c>
      <c r="I138" s="30">
        <f>IF(Database!B138="","",Database!H138)</f>
        <v/>
      </c>
      <c r="J138" s="31" t="n"/>
      <c r="K138" s="88" t="n"/>
      <c r="L138" s="31" t="n"/>
      <c r="M138" s="31" t="n"/>
      <c r="N138" s="31" t="n"/>
      <c r="O138" s="32" t="n"/>
    </row>
    <row r="139">
      <c r="A139" s="30">
        <f>IF(Database!B139="","",ROW()-1)</f>
        <v/>
      </c>
      <c r="B139" s="30">
        <f>IF(Database!B139="","",Database!B139)</f>
        <v/>
      </c>
      <c r="C139" s="87">
        <f>IF(Database!B139="","",Database!A139)</f>
        <v/>
      </c>
      <c r="D139" s="30">
        <f>IF(Database!B139="","",Database!D139)</f>
        <v/>
      </c>
      <c r="E139" s="30">
        <f>IF(Database!B139="","",Database!E139)</f>
        <v/>
      </c>
      <c r="F139" s="30">
        <f>IF(Database!B139="","",Database!F139)</f>
        <v/>
      </c>
      <c r="G139" s="30">
        <f>IF(Database!B139="","",Database!G139)</f>
        <v/>
      </c>
      <c r="H139" s="30">
        <f>IF(Database!B139="","",Database!C139)</f>
        <v/>
      </c>
      <c r="I139" s="30">
        <f>IF(Database!B139="","",Database!H139)</f>
        <v/>
      </c>
      <c r="J139" s="31" t="n"/>
      <c r="K139" s="88" t="n"/>
      <c r="L139" s="31" t="n"/>
      <c r="M139" s="31" t="n"/>
      <c r="N139" s="31" t="n"/>
      <c r="O139" s="32" t="n"/>
    </row>
    <row r="140">
      <c r="A140" s="30">
        <f>IF(Database!B140="","",ROW()-1)</f>
        <v/>
      </c>
      <c r="B140" s="30">
        <f>IF(Database!B140="","",Database!B140)</f>
        <v/>
      </c>
      <c r="C140" s="87">
        <f>IF(Database!B140="","",Database!A140)</f>
        <v/>
      </c>
      <c r="D140" s="30">
        <f>IF(Database!B140="","",Database!D140)</f>
        <v/>
      </c>
      <c r="E140" s="30">
        <f>IF(Database!B140="","",Database!E140)</f>
        <v/>
      </c>
      <c r="F140" s="30">
        <f>IF(Database!B140="","",Database!F140)</f>
        <v/>
      </c>
      <c r="G140" s="30">
        <f>IF(Database!B140="","",Database!G140)</f>
        <v/>
      </c>
      <c r="H140" s="30">
        <f>IF(Database!B140="","",Database!C140)</f>
        <v/>
      </c>
      <c r="I140" s="30">
        <f>IF(Database!B140="","",Database!H140)</f>
        <v/>
      </c>
      <c r="J140" s="31" t="n"/>
      <c r="K140" s="88" t="n"/>
      <c r="L140" s="31" t="n"/>
      <c r="M140" s="31" t="n"/>
      <c r="N140" s="31" t="n"/>
      <c r="O140" s="32" t="n"/>
    </row>
    <row r="141">
      <c r="A141" s="30">
        <f>IF(Database!B141="","",ROW()-1)</f>
        <v/>
      </c>
      <c r="B141" s="30">
        <f>IF(Database!B141="","",Database!B141)</f>
        <v/>
      </c>
      <c r="C141" s="87">
        <f>IF(Database!B141="","",Database!A141)</f>
        <v/>
      </c>
      <c r="D141" s="30">
        <f>IF(Database!B141="","",Database!D141)</f>
        <v/>
      </c>
      <c r="E141" s="30">
        <f>IF(Database!B141="","",Database!E141)</f>
        <v/>
      </c>
      <c r="F141" s="30">
        <f>IF(Database!B141="","",Database!F141)</f>
        <v/>
      </c>
      <c r="G141" s="30">
        <f>IF(Database!B141="","",Database!G141)</f>
        <v/>
      </c>
      <c r="H141" s="30">
        <f>IF(Database!B141="","",Database!C141)</f>
        <v/>
      </c>
      <c r="I141" s="30">
        <f>IF(Database!B141="","",Database!H141)</f>
        <v/>
      </c>
      <c r="J141" s="31" t="n"/>
      <c r="K141" s="88" t="n"/>
      <c r="L141" s="31" t="n"/>
      <c r="M141" s="31" t="n"/>
      <c r="N141" s="31" t="n"/>
      <c r="O141" s="32" t="n"/>
    </row>
    <row r="142">
      <c r="A142" s="30">
        <f>IF(Database!B142="","",ROW()-1)</f>
        <v/>
      </c>
      <c r="B142" s="30">
        <f>IF(Database!B142="","",Database!B142)</f>
        <v/>
      </c>
      <c r="C142" s="87">
        <f>IF(Database!B142="","",Database!A142)</f>
        <v/>
      </c>
      <c r="D142" s="30">
        <f>IF(Database!B142="","",Database!D142)</f>
        <v/>
      </c>
      <c r="E142" s="30">
        <f>IF(Database!B142="","",Database!E142)</f>
        <v/>
      </c>
      <c r="F142" s="30">
        <f>IF(Database!B142="","",Database!F142)</f>
        <v/>
      </c>
      <c r="G142" s="30">
        <f>IF(Database!B142="","",Database!G142)</f>
        <v/>
      </c>
      <c r="H142" s="30">
        <f>IF(Database!B142="","",Database!C142)</f>
        <v/>
      </c>
      <c r="I142" s="30">
        <f>IF(Database!B142="","",Database!H142)</f>
        <v/>
      </c>
      <c r="J142" s="31" t="n"/>
      <c r="K142" s="88" t="n"/>
      <c r="L142" s="31" t="n"/>
      <c r="M142" s="31" t="n"/>
      <c r="N142" s="31" t="n"/>
      <c r="O142" s="32" t="n"/>
    </row>
    <row r="143">
      <c r="A143" s="30">
        <f>IF(Database!B143="","",ROW()-1)</f>
        <v/>
      </c>
      <c r="B143" s="30">
        <f>IF(Database!B143="","",Database!B143)</f>
        <v/>
      </c>
      <c r="C143" s="87">
        <f>IF(Database!B143="","",Database!A143)</f>
        <v/>
      </c>
      <c r="D143" s="30">
        <f>IF(Database!B143="","",Database!D143)</f>
        <v/>
      </c>
      <c r="E143" s="30">
        <f>IF(Database!B143="","",Database!E143)</f>
        <v/>
      </c>
      <c r="F143" s="30">
        <f>IF(Database!B143="","",Database!F143)</f>
        <v/>
      </c>
      <c r="G143" s="30">
        <f>IF(Database!B143="","",Database!G143)</f>
        <v/>
      </c>
      <c r="H143" s="30">
        <f>IF(Database!B143="","",Database!C143)</f>
        <v/>
      </c>
      <c r="I143" s="30">
        <f>IF(Database!B143="","",Database!H143)</f>
        <v/>
      </c>
      <c r="J143" s="31" t="n"/>
      <c r="K143" s="88" t="n"/>
      <c r="L143" s="31" t="n"/>
      <c r="M143" s="31" t="n"/>
      <c r="N143" s="31" t="n"/>
      <c r="O143" s="32" t="n"/>
    </row>
    <row r="144">
      <c r="A144" s="30">
        <f>IF(Database!B144="","",ROW()-1)</f>
        <v/>
      </c>
      <c r="B144" s="30">
        <f>IF(Database!B144="","",Database!B144)</f>
        <v/>
      </c>
      <c r="C144" s="87">
        <f>IF(Database!B144="","",Database!A144)</f>
        <v/>
      </c>
      <c r="D144" s="30">
        <f>IF(Database!B144="","",Database!D144)</f>
        <v/>
      </c>
      <c r="E144" s="30">
        <f>IF(Database!B144="","",Database!E144)</f>
        <v/>
      </c>
      <c r="F144" s="30">
        <f>IF(Database!B144="","",Database!F144)</f>
        <v/>
      </c>
      <c r="G144" s="30">
        <f>IF(Database!B144="","",Database!G144)</f>
        <v/>
      </c>
      <c r="H144" s="30">
        <f>IF(Database!B144="","",Database!C144)</f>
        <v/>
      </c>
      <c r="I144" s="30">
        <f>IF(Database!B144="","",Database!H144)</f>
        <v/>
      </c>
      <c r="J144" s="31" t="n"/>
      <c r="K144" s="88" t="n"/>
      <c r="L144" s="31" t="n"/>
      <c r="M144" s="31" t="n"/>
      <c r="N144" s="31" t="n"/>
      <c r="O144" s="32" t="n"/>
    </row>
    <row r="145">
      <c r="A145" s="30">
        <f>IF(Database!B145="","",ROW()-1)</f>
        <v/>
      </c>
      <c r="B145" s="30">
        <f>IF(Database!B145="","",Database!B145)</f>
        <v/>
      </c>
      <c r="C145" s="87">
        <f>IF(Database!B145="","",Database!A145)</f>
        <v/>
      </c>
      <c r="D145" s="30">
        <f>IF(Database!B145="","",Database!D145)</f>
        <v/>
      </c>
      <c r="E145" s="30">
        <f>IF(Database!B145="","",Database!E145)</f>
        <v/>
      </c>
      <c r="F145" s="30">
        <f>IF(Database!B145="","",Database!F145)</f>
        <v/>
      </c>
      <c r="G145" s="30">
        <f>IF(Database!B145="","",Database!G145)</f>
        <v/>
      </c>
      <c r="H145" s="30">
        <f>IF(Database!B145="","",Database!C145)</f>
        <v/>
      </c>
      <c r="I145" s="30">
        <f>IF(Database!B145="","",Database!H145)</f>
        <v/>
      </c>
      <c r="J145" s="31" t="n"/>
      <c r="K145" s="88" t="n"/>
      <c r="L145" s="31" t="n"/>
      <c r="M145" s="31" t="n"/>
      <c r="N145" s="31" t="n"/>
      <c r="O145" s="32" t="n"/>
    </row>
    <row r="146">
      <c r="A146" s="30">
        <f>IF(Database!B146="","",ROW()-1)</f>
        <v/>
      </c>
      <c r="B146" s="30">
        <f>IF(Database!B146="","",Database!B146)</f>
        <v/>
      </c>
      <c r="C146" s="87">
        <f>IF(Database!B146="","",Database!A146)</f>
        <v/>
      </c>
      <c r="D146" s="30">
        <f>IF(Database!B146="","",Database!D146)</f>
        <v/>
      </c>
      <c r="E146" s="30">
        <f>IF(Database!B146="","",Database!E146)</f>
        <v/>
      </c>
      <c r="F146" s="30">
        <f>IF(Database!B146="","",Database!F146)</f>
        <v/>
      </c>
      <c r="G146" s="30">
        <f>IF(Database!B146="","",Database!G146)</f>
        <v/>
      </c>
      <c r="H146" s="30">
        <f>IF(Database!B146="","",Database!C146)</f>
        <v/>
      </c>
      <c r="I146" s="30">
        <f>IF(Database!B146="","",Database!H146)</f>
        <v/>
      </c>
      <c r="J146" s="31" t="n"/>
      <c r="K146" s="88" t="n"/>
      <c r="L146" s="31" t="n"/>
      <c r="M146" s="31" t="n"/>
      <c r="N146" s="31" t="n"/>
      <c r="O146" s="32" t="n"/>
    </row>
    <row r="147">
      <c r="A147" s="30">
        <f>IF(Database!B147="","",ROW()-1)</f>
        <v/>
      </c>
      <c r="B147" s="30">
        <f>IF(Database!B147="","",Database!B147)</f>
        <v/>
      </c>
      <c r="C147" s="87">
        <f>IF(Database!B147="","",Database!A147)</f>
        <v/>
      </c>
      <c r="D147" s="30">
        <f>IF(Database!B147="","",Database!D147)</f>
        <v/>
      </c>
      <c r="E147" s="30">
        <f>IF(Database!B147="","",Database!E147)</f>
        <v/>
      </c>
      <c r="F147" s="30">
        <f>IF(Database!B147="","",Database!F147)</f>
        <v/>
      </c>
      <c r="G147" s="30">
        <f>IF(Database!B147="","",Database!G147)</f>
        <v/>
      </c>
      <c r="H147" s="30">
        <f>IF(Database!B147="","",Database!C147)</f>
        <v/>
      </c>
      <c r="I147" s="30">
        <f>IF(Database!B147="","",Database!H147)</f>
        <v/>
      </c>
      <c r="J147" s="31" t="n"/>
      <c r="K147" s="88" t="n"/>
      <c r="L147" s="31" t="n"/>
      <c r="M147" s="31" t="n"/>
      <c r="N147" s="31" t="n"/>
      <c r="O147" s="32" t="n"/>
    </row>
    <row r="148">
      <c r="A148" s="30">
        <f>IF(Database!B148="","",ROW()-1)</f>
        <v/>
      </c>
      <c r="B148" s="30">
        <f>IF(Database!B148="","",Database!B148)</f>
        <v/>
      </c>
      <c r="C148" s="87">
        <f>IF(Database!B148="","",Database!A148)</f>
        <v/>
      </c>
      <c r="D148" s="30">
        <f>IF(Database!B148="","",Database!D148)</f>
        <v/>
      </c>
      <c r="E148" s="30">
        <f>IF(Database!B148="","",Database!E148)</f>
        <v/>
      </c>
      <c r="F148" s="30">
        <f>IF(Database!B148="","",Database!F148)</f>
        <v/>
      </c>
      <c r="G148" s="30">
        <f>IF(Database!B148="","",Database!G148)</f>
        <v/>
      </c>
      <c r="H148" s="30">
        <f>IF(Database!B148="","",Database!C148)</f>
        <v/>
      </c>
      <c r="I148" s="30">
        <f>IF(Database!B148="","",Database!H148)</f>
        <v/>
      </c>
      <c r="J148" s="31" t="n"/>
      <c r="K148" s="88" t="n"/>
      <c r="L148" s="31" t="n"/>
      <c r="M148" s="31" t="n"/>
      <c r="N148" s="31" t="n"/>
      <c r="O148" s="32" t="n"/>
    </row>
    <row r="149">
      <c r="A149" s="30">
        <f>IF(Database!B149="","",ROW()-1)</f>
        <v/>
      </c>
      <c r="B149" s="30">
        <f>IF(Database!B149="","",Database!B149)</f>
        <v/>
      </c>
      <c r="C149" s="87">
        <f>IF(Database!B149="","",Database!A149)</f>
        <v/>
      </c>
      <c r="D149" s="30">
        <f>IF(Database!B149="","",Database!D149)</f>
        <v/>
      </c>
      <c r="E149" s="30">
        <f>IF(Database!B149="","",Database!E149)</f>
        <v/>
      </c>
      <c r="F149" s="30">
        <f>IF(Database!B149="","",Database!F149)</f>
        <v/>
      </c>
      <c r="G149" s="30">
        <f>IF(Database!B149="","",Database!G149)</f>
        <v/>
      </c>
      <c r="H149" s="30">
        <f>IF(Database!B149="","",Database!C149)</f>
        <v/>
      </c>
      <c r="I149" s="30">
        <f>IF(Database!B149="","",Database!H149)</f>
        <v/>
      </c>
      <c r="J149" s="31" t="n"/>
      <c r="K149" s="88" t="n"/>
      <c r="L149" s="31" t="n"/>
      <c r="M149" s="31" t="n"/>
      <c r="N149" s="31" t="n"/>
      <c r="O149" s="32" t="n"/>
    </row>
    <row r="150">
      <c r="A150" s="30">
        <f>IF(Database!B150="","",ROW()-1)</f>
        <v/>
      </c>
      <c r="B150" s="30">
        <f>IF(Database!B150="","",Database!B150)</f>
        <v/>
      </c>
      <c r="C150" s="87">
        <f>IF(Database!B150="","",Database!A150)</f>
        <v/>
      </c>
      <c r="D150" s="30">
        <f>IF(Database!B150="","",Database!D150)</f>
        <v/>
      </c>
      <c r="E150" s="30">
        <f>IF(Database!B150="","",Database!E150)</f>
        <v/>
      </c>
      <c r="F150" s="30">
        <f>IF(Database!B150="","",Database!F150)</f>
        <v/>
      </c>
      <c r="G150" s="30">
        <f>IF(Database!B150="","",Database!G150)</f>
        <v/>
      </c>
      <c r="H150" s="30">
        <f>IF(Database!B150="","",Database!C150)</f>
        <v/>
      </c>
      <c r="I150" s="30">
        <f>IF(Database!B150="","",Database!H150)</f>
        <v/>
      </c>
      <c r="J150" s="31" t="n"/>
      <c r="K150" s="88" t="n"/>
      <c r="L150" s="31" t="n"/>
      <c r="M150" s="31" t="n"/>
      <c r="N150" s="31" t="n"/>
      <c r="O150" s="32" t="n"/>
    </row>
    <row r="151">
      <c r="A151" s="30">
        <f>IF(Database!B151="","",ROW()-1)</f>
        <v/>
      </c>
      <c r="B151" s="30">
        <f>IF(Database!B151="","",Database!B151)</f>
        <v/>
      </c>
      <c r="C151" s="87">
        <f>IF(Database!B151="","",Database!A151)</f>
        <v/>
      </c>
      <c r="D151" s="30">
        <f>IF(Database!B151="","",Database!D151)</f>
        <v/>
      </c>
      <c r="E151" s="30">
        <f>IF(Database!B151="","",Database!E151)</f>
        <v/>
      </c>
      <c r="F151" s="30">
        <f>IF(Database!B151="","",Database!F151)</f>
        <v/>
      </c>
      <c r="G151" s="30">
        <f>IF(Database!B151="","",Database!G151)</f>
        <v/>
      </c>
      <c r="H151" s="30">
        <f>IF(Database!B151="","",Database!C151)</f>
        <v/>
      </c>
      <c r="I151" s="30">
        <f>IF(Database!B151="","",Database!H151)</f>
        <v/>
      </c>
      <c r="J151" s="31" t="n"/>
      <c r="K151" s="88" t="n"/>
      <c r="L151" s="31" t="n"/>
      <c r="M151" s="31" t="n"/>
      <c r="N151" s="31" t="n"/>
      <c r="O151" s="32" t="n"/>
    </row>
    <row r="152">
      <c r="A152" s="30">
        <f>IF(Database!B152="","",ROW()-1)</f>
        <v/>
      </c>
      <c r="B152" s="30">
        <f>IF(Database!B152="","",Database!B152)</f>
        <v/>
      </c>
      <c r="C152" s="87">
        <f>IF(Database!B152="","",Database!A152)</f>
        <v/>
      </c>
      <c r="D152" s="30">
        <f>IF(Database!B152="","",Database!D152)</f>
        <v/>
      </c>
      <c r="E152" s="30">
        <f>IF(Database!B152="","",Database!E152)</f>
        <v/>
      </c>
      <c r="F152" s="30">
        <f>IF(Database!B152="","",Database!F152)</f>
        <v/>
      </c>
      <c r="G152" s="30">
        <f>IF(Database!B152="","",Database!G152)</f>
        <v/>
      </c>
      <c r="H152" s="30">
        <f>IF(Database!B152="","",Database!C152)</f>
        <v/>
      </c>
      <c r="I152" s="30">
        <f>IF(Database!B152="","",Database!H152)</f>
        <v/>
      </c>
      <c r="J152" s="31" t="n"/>
      <c r="K152" s="88" t="n"/>
      <c r="L152" s="31" t="n"/>
      <c r="M152" s="31" t="n"/>
      <c r="N152" s="31" t="n"/>
      <c r="O152" s="32" t="n"/>
    </row>
    <row r="153">
      <c r="A153" s="30">
        <f>IF(Database!B153="","",ROW()-1)</f>
        <v/>
      </c>
      <c r="B153" s="30">
        <f>IF(Database!B153="","",Database!B153)</f>
        <v/>
      </c>
      <c r="C153" s="87">
        <f>IF(Database!B153="","",Database!A153)</f>
        <v/>
      </c>
      <c r="D153" s="30">
        <f>IF(Database!B153="","",Database!D153)</f>
        <v/>
      </c>
      <c r="E153" s="30">
        <f>IF(Database!B153="","",Database!E153)</f>
        <v/>
      </c>
      <c r="F153" s="30">
        <f>IF(Database!B153="","",Database!F153)</f>
        <v/>
      </c>
      <c r="G153" s="30">
        <f>IF(Database!B153="","",Database!G153)</f>
        <v/>
      </c>
      <c r="H153" s="30">
        <f>IF(Database!B153="","",Database!C153)</f>
        <v/>
      </c>
      <c r="I153" s="30">
        <f>IF(Database!B153="","",Database!H153)</f>
        <v/>
      </c>
      <c r="J153" s="31" t="n"/>
      <c r="K153" s="88" t="n"/>
      <c r="L153" s="31" t="n"/>
      <c r="M153" s="31" t="n"/>
      <c r="N153" s="31" t="n"/>
      <c r="O153" s="32" t="n"/>
    </row>
    <row r="154">
      <c r="A154" s="30">
        <f>IF(Database!B154="","",ROW()-1)</f>
        <v/>
      </c>
      <c r="B154" s="30">
        <f>IF(Database!B154="","",Database!B154)</f>
        <v/>
      </c>
      <c r="C154" s="87">
        <f>IF(Database!B154="","",Database!A154)</f>
        <v/>
      </c>
      <c r="D154" s="30">
        <f>IF(Database!B154="","",Database!D154)</f>
        <v/>
      </c>
      <c r="E154" s="30">
        <f>IF(Database!B154="","",Database!E154)</f>
        <v/>
      </c>
      <c r="F154" s="30">
        <f>IF(Database!B154="","",Database!F154)</f>
        <v/>
      </c>
      <c r="G154" s="30">
        <f>IF(Database!B154="","",Database!G154)</f>
        <v/>
      </c>
      <c r="H154" s="30">
        <f>IF(Database!B154="","",Database!C154)</f>
        <v/>
      </c>
      <c r="I154" s="30">
        <f>IF(Database!B154="","",Database!H154)</f>
        <v/>
      </c>
      <c r="J154" s="31" t="n"/>
      <c r="K154" s="88" t="n"/>
      <c r="L154" s="31" t="n"/>
      <c r="M154" s="31" t="n"/>
      <c r="N154" s="31" t="n"/>
      <c r="O154" s="32" t="n"/>
    </row>
    <row r="155">
      <c r="A155" s="30">
        <f>IF(Database!B155="","",ROW()-1)</f>
        <v/>
      </c>
      <c r="B155" s="30">
        <f>IF(Database!B155="","",Database!B155)</f>
        <v/>
      </c>
      <c r="C155" s="87">
        <f>IF(Database!B155="","",Database!A155)</f>
        <v/>
      </c>
      <c r="D155" s="30">
        <f>IF(Database!B155="","",Database!D155)</f>
        <v/>
      </c>
      <c r="E155" s="30">
        <f>IF(Database!B155="","",Database!E155)</f>
        <v/>
      </c>
      <c r="F155" s="30">
        <f>IF(Database!B155="","",Database!F155)</f>
        <v/>
      </c>
      <c r="G155" s="30">
        <f>IF(Database!B155="","",Database!G155)</f>
        <v/>
      </c>
      <c r="H155" s="30">
        <f>IF(Database!B155="","",Database!C155)</f>
        <v/>
      </c>
      <c r="I155" s="30">
        <f>IF(Database!B155="","",Database!H155)</f>
        <v/>
      </c>
      <c r="J155" s="31" t="n"/>
      <c r="K155" s="88" t="n"/>
      <c r="L155" s="31" t="n"/>
      <c r="M155" s="31" t="n"/>
      <c r="N155" s="31" t="n"/>
      <c r="O155" s="32" t="n"/>
    </row>
    <row r="156">
      <c r="A156" s="30">
        <f>IF(Database!B156="","",ROW()-1)</f>
        <v/>
      </c>
      <c r="B156" s="30">
        <f>IF(Database!B156="","",Database!B156)</f>
        <v/>
      </c>
      <c r="C156" s="87">
        <f>IF(Database!B156="","",Database!A156)</f>
        <v/>
      </c>
      <c r="D156" s="30">
        <f>IF(Database!B156="","",Database!D156)</f>
        <v/>
      </c>
      <c r="E156" s="30">
        <f>IF(Database!B156="","",Database!E156)</f>
        <v/>
      </c>
      <c r="F156" s="30">
        <f>IF(Database!B156="","",Database!F156)</f>
        <v/>
      </c>
      <c r="G156" s="30">
        <f>IF(Database!B156="","",Database!G156)</f>
        <v/>
      </c>
      <c r="H156" s="30">
        <f>IF(Database!B156="","",Database!C156)</f>
        <v/>
      </c>
      <c r="I156" s="30">
        <f>IF(Database!B156="","",Database!H156)</f>
        <v/>
      </c>
      <c r="J156" s="31" t="n"/>
      <c r="K156" s="88" t="n"/>
      <c r="L156" s="31" t="n"/>
      <c r="M156" s="31" t="n"/>
      <c r="N156" s="31" t="n"/>
      <c r="O156" s="32" t="n"/>
    </row>
    <row r="157">
      <c r="A157" s="30">
        <f>IF(Database!B157="","",ROW()-1)</f>
        <v/>
      </c>
      <c r="B157" s="30">
        <f>IF(Database!B157="","",Database!B157)</f>
        <v/>
      </c>
      <c r="C157" s="87">
        <f>IF(Database!B157="","",Database!A157)</f>
        <v/>
      </c>
      <c r="D157" s="30">
        <f>IF(Database!B157="","",Database!D157)</f>
        <v/>
      </c>
      <c r="E157" s="30">
        <f>IF(Database!B157="","",Database!E157)</f>
        <v/>
      </c>
      <c r="F157" s="30">
        <f>IF(Database!B157="","",Database!F157)</f>
        <v/>
      </c>
      <c r="G157" s="30">
        <f>IF(Database!B157="","",Database!G157)</f>
        <v/>
      </c>
      <c r="H157" s="30">
        <f>IF(Database!B157="","",Database!C157)</f>
        <v/>
      </c>
      <c r="I157" s="30">
        <f>IF(Database!B157="","",Database!H157)</f>
        <v/>
      </c>
      <c r="J157" s="31" t="n"/>
      <c r="K157" s="88" t="n"/>
      <c r="L157" s="31" t="n"/>
      <c r="M157" s="31" t="n"/>
      <c r="N157" s="31" t="n"/>
      <c r="O157" s="32" t="n"/>
    </row>
    <row r="158">
      <c r="A158" s="30">
        <f>IF(Database!B158="","",ROW()-1)</f>
        <v/>
      </c>
      <c r="B158" s="30">
        <f>IF(Database!B158="","",Database!B158)</f>
        <v/>
      </c>
      <c r="C158" s="87">
        <f>IF(Database!B158="","",Database!A158)</f>
        <v/>
      </c>
      <c r="D158" s="30">
        <f>IF(Database!B158="","",Database!D158)</f>
        <v/>
      </c>
      <c r="E158" s="30">
        <f>IF(Database!B158="","",Database!E158)</f>
        <v/>
      </c>
      <c r="F158" s="30">
        <f>IF(Database!B158="","",Database!F158)</f>
        <v/>
      </c>
      <c r="G158" s="30">
        <f>IF(Database!B158="","",Database!G158)</f>
        <v/>
      </c>
      <c r="H158" s="30">
        <f>IF(Database!B158="","",Database!C158)</f>
        <v/>
      </c>
      <c r="I158" s="30">
        <f>IF(Database!B158="","",Database!H158)</f>
        <v/>
      </c>
      <c r="J158" s="31" t="n"/>
      <c r="K158" s="88" t="n"/>
      <c r="L158" s="31" t="n"/>
      <c r="M158" s="31" t="n"/>
      <c r="N158" s="31" t="n"/>
      <c r="O158" s="32" t="n"/>
    </row>
    <row r="159">
      <c r="A159" s="30">
        <f>IF(Database!B159="","",ROW()-1)</f>
        <v/>
      </c>
      <c r="B159" s="30">
        <f>IF(Database!B159="","",Database!B159)</f>
        <v/>
      </c>
      <c r="C159" s="87">
        <f>IF(Database!B159="","",Database!A159)</f>
        <v/>
      </c>
      <c r="D159" s="30">
        <f>IF(Database!B159="","",Database!D159)</f>
        <v/>
      </c>
      <c r="E159" s="30">
        <f>IF(Database!B159="","",Database!E159)</f>
        <v/>
      </c>
      <c r="F159" s="30">
        <f>IF(Database!B159="","",Database!F159)</f>
        <v/>
      </c>
      <c r="G159" s="30">
        <f>IF(Database!B159="","",Database!G159)</f>
        <v/>
      </c>
      <c r="H159" s="30">
        <f>IF(Database!B159="","",Database!C159)</f>
        <v/>
      </c>
      <c r="I159" s="30">
        <f>IF(Database!B159="","",Database!H159)</f>
        <v/>
      </c>
      <c r="J159" s="31" t="n"/>
      <c r="K159" s="88" t="n"/>
      <c r="L159" s="31" t="n"/>
      <c r="M159" s="31" t="n"/>
      <c r="N159" s="31" t="n"/>
      <c r="O159" s="32" t="n"/>
    </row>
    <row r="160">
      <c r="A160" s="30">
        <f>IF(Database!B160="","",ROW()-1)</f>
        <v/>
      </c>
      <c r="B160" s="30">
        <f>IF(Database!B160="","",Database!B160)</f>
        <v/>
      </c>
      <c r="C160" s="87">
        <f>IF(Database!B160="","",Database!A160)</f>
        <v/>
      </c>
      <c r="D160" s="30">
        <f>IF(Database!B160="","",Database!D160)</f>
        <v/>
      </c>
      <c r="E160" s="30">
        <f>IF(Database!B160="","",Database!E160)</f>
        <v/>
      </c>
      <c r="F160" s="30">
        <f>IF(Database!B160="","",Database!F160)</f>
        <v/>
      </c>
      <c r="G160" s="30">
        <f>IF(Database!B160="","",Database!G160)</f>
        <v/>
      </c>
      <c r="H160" s="30">
        <f>IF(Database!B160="","",Database!C160)</f>
        <v/>
      </c>
      <c r="I160" s="30">
        <f>IF(Database!B160="","",Database!H160)</f>
        <v/>
      </c>
      <c r="J160" s="31" t="n"/>
      <c r="K160" s="88" t="n"/>
      <c r="L160" s="31" t="n"/>
      <c r="M160" s="31" t="n"/>
      <c r="N160" s="31" t="n"/>
      <c r="O160" s="32" t="n"/>
    </row>
    <row r="161">
      <c r="A161" s="30">
        <f>IF(Database!B161="","",ROW()-1)</f>
        <v/>
      </c>
      <c r="B161" s="30">
        <f>IF(Database!B161="","",Database!B161)</f>
        <v/>
      </c>
      <c r="C161" s="87">
        <f>IF(Database!B161="","",Database!A161)</f>
        <v/>
      </c>
      <c r="D161" s="30">
        <f>IF(Database!B161="","",Database!D161)</f>
        <v/>
      </c>
      <c r="E161" s="30">
        <f>IF(Database!B161="","",Database!E161)</f>
        <v/>
      </c>
      <c r="F161" s="30">
        <f>IF(Database!B161="","",Database!F161)</f>
        <v/>
      </c>
      <c r="G161" s="30">
        <f>IF(Database!B161="","",Database!G161)</f>
        <v/>
      </c>
      <c r="H161" s="30">
        <f>IF(Database!B161="","",Database!C161)</f>
        <v/>
      </c>
      <c r="I161" s="30">
        <f>IF(Database!B161="","",Database!H161)</f>
        <v/>
      </c>
      <c r="J161" s="31" t="n"/>
      <c r="K161" s="88" t="n"/>
      <c r="L161" s="31" t="n"/>
      <c r="M161" s="31" t="n"/>
      <c r="N161" s="31" t="n"/>
      <c r="O161" s="32" t="n"/>
    </row>
    <row r="162">
      <c r="A162" s="30">
        <f>IF(Database!B162="","",ROW()-1)</f>
        <v/>
      </c>
      <c r="B162" s="30">
        <f>IF(Database!B162="","",Database!B162)</f>
        <v/>
      </c>
      <c r="C162" s="87">
        <f>IF(Database!B162="","",Database!A162)</f>
        <v/>
      </c>
      <c r="D162" s="30">
        <f>IF(Database!B162="","",Database!D162)</f>
        <v/>
      </c>
      <c r="E162" s="30">
        <f>IF(Database!B162="","",Database!E162)</f>
        <v/>
      </c>
      <c r="F162" s="30">
        <f>IF(Database!B162="","",Database!F162)</f>
        <v/>
      </c>
      <c r="G162" s="30">
        <f>IF(Database!B162="","",Database!G162)</f>
        <v/>
      </c>
      <c r="H162" s="30">
        <f>IF(Database!B162="","",Database!C162)</f>
        <v/>
      </c>
      <c r="I162" s="30">
        <f>IF(Database!B162="","",Database!H162)</f>
        <v/>
      </c>
      <c r="J162" s="31" t="n"/>
      <c r="K162" s="88" t="n"/>
      <c r="L162" s="31" t="n"/>
      <c r="M162" s="31" t="n"/>
      <c r="N162" s="31" t="n"/>
      <c r="O162" s="32" t="n"/>
    </row>
    <row r="163">
      <c r="A163" s="30">
        <f>IF(Database!B163="","",ROW()-1)</f>
        <v/>
      </c>
      <c r="B163" s="30">
        <f>IF(Database!B163="","",Database!B163)</f>
        <v/>
      </c>
      <c r="C163" s="87">
        <f>IF(Database!B163="","",Database!A163)</f>
        <v/>
      </c>
      <c r="D163" s="30">
        <f>IF(Database!B163="","",Database!D163)</f>
        <v/>
      </c>
      <c r="E163" s="30">
        <f>IF(Database!B163="","",Database!E163)</f>
        <v/>
      </c>
      <c r="F163" s="30">
        <f>IF(Database!B163="","",Database!F163)</f>
        <v/>
      </c>
      <c r="G163" s="30">
        <f>IF(Database!B163="","",Database!G163)</f>
        <v/>
      </c>
      <c r="H163" s="30">
        <f>IF(Database!B163="","",Database!C163)</f>
        <v/>
      </c>
      <c r="I163" s="30">
        <f>IF(Database!B163="","",Database!H163)</f>
        <v/>
      </c>
      <c r="J163" s="31" t="n"/>
      <c r="K163" s="88" t="n"/>
      <c r="L163" s="31" t="n"/>
      <c r="M163" s="31" t="n"/>
      <c r="N163" s="31" t="n"/>
      <c r="O163" s="32" t="n"/>
    </row>
    <row r="164">
      <c r="A164" s="30">
        <f>IF(Database!B164="","",ROW()-1)</f>
        <v/>
      </c>
      <c r="B164" s="30">
        <f>IF(Database!B164="","",Database!B164)</f>
        <v/>
      </c>
      <c r="C164" s="87">
        <f>IF(Database!B164="","",Database!A164)</f>
        <v/>
      </c>
      <c r="D164" s="30">
        <f>IF(Database!B164="","",Database!D164)</f>
        <v/>
      </c>
      <c r="E164" s="30">
        <f>IF(Database!B164="","",Database!E164)</f>
        <v/>
      </c>
      <c r="F164" s="30">
        <f>IF(Database!B164="","",Database!F164)</f>
        <v/>
      </c>
      <c r="G164" s="30">
        <f>IF(Database!B164="","",Database!G164)</f>
        <v/>
      </c>
      <c r="H164" s="30">
        <f>IF(Database!B164="","",Database!C164)</f>
        <v/>
      </c>
      <c r="I164" s="30">
        <f>IF(Database!B164="","",Database!H164)</f>
        <v/>
      </c>
      <c r="J164" s="31" t="n"/>
      <c r="K164" s="88" t="n"/>
      <c r="L164" s="31" t="n"/>
      <c r="M164" s="31" t="n"/>
      <c r="N164" s="31" t="n"/>
      <c r="O164" s="32" t="n"/>
    </row>
    <row r="165">
      <c r="A165" s="30">
        <f>IF(Database!B165="","",ROW()-1)</f>
        <v/>
      </c>
      <c r="B165" s="30">
        <f>IF(Database!B165="","",Database!B165)</f>
        <v/>
      </c>
      <c r="C165" s="87">
        <f>IF(Database!B165="","",Database!A165)</f>
        <v/>
      </c>
      <c r="D165" s="30">
        <f>IF(Database!B165="","",Database!D165)</f>
        <v/>
      </c>
      <c r="E165" s="30">
        <f>IF(Database!B165="","",Database!E165)</f>
        <v/>
      </c>
      <c r="F165" s="30">
        <f>IF(Database!B165="","",Database!F165)</f>
        <v/>
      </c>
      <c r="G165" s="30">
        <f>IF(Database!B165="","",Database!G165)</f>
        <v/>
      </c>
      <c r="H165" s="30">
        <f>IF(Database!B165="","",Database!C165)</f>
        <v/>
      </c>
      <c r="I165" s="30">
        <f>IF(Database!B165="","",Database!H165)</f>
        <v/>
      </c>
      <c r="J165" s="31" t="n"/>
      <c r="K165" s="88" t="n"/>
      <c r="L165" s="31" t="n"/>
      <c r="M165" s="31" t="n"/>
      <c r="N165" s="31" t="n"/>
      <c r="O165" s="32" t="n"/>
    </row>
    <row r="166">
      <c r="A166" s="30">
        <f>IF(Database!B166="","",ROW()-1)</f>
        <v/>
      </c>
      <c r="B166" s="30">
        <f>IF(Database!B166="","",Database!B166)</f>
        <v/>
      </c>
      <c r="C166" s="87">
        <f>IF(Database!B166="","",Database!A166)</f>
        <v/>
      </c>
      <c r="D166" s="30">
        <f>IF(Database!B166="","",Database!D166)</f>
        <v/>
      </c>
      <c r="E166" s="30">
        <f>IF(Database!B166="","",Database!E166)</f>
        <v/>
      </c>
      <c r="F166" s="30">
        <f>IF(Database!B166="","",Database!F166)</f>
        <v/>
      </c>
      <c r="G166" s="30">
        <f>IF(Database!B166="","",Database!G166)</f>
        <v/>
      </c>
      <c r="H166" s="30">
        <f>IF(Database!B166="","",Database!C166)</f>
        <v/>
      </c>
      <c r="I166" s="30">
        <f>IF(Database!B166="","",Database!H166)</f>
        <v/>
      </c>
      <c r="J166" s="31" t="n"/>
      <c r="K166" s="88" t="n"/>
      <c r="L166" s="31" t="n"/>
      <c r="M166" s="31" t="n"/>
      <c r="N166" s="31" t="n"/>
      <c r="O166" s="32" t="n"/>
    </row>
    <row r="167">
      <c r="A167" s="30">
        <f>IF(Database!B167="","",ROW()-1)</f>
        <v/>
      </c>
      <c r="B167" s="30">
        <f>IF(Database!B167="","",Database!B167)</f>
        <v/>
      </c>
      <c r="C167" s="87">
        <f>IF(Database!B167="","",Database!A167)</f>
        <v/>
      </c>
      <c r="D167" s="30">
        <f>IF(Database!B167="","",Database!D167)</f>
        <v/>
      </c>
      <c r="E167" s="30">
        <f>IF(Database!B167="","",Database!E167)</f>
        <v/>
      </c>
      <c r="F167" s="30">
        <f>IF(Database!B167="","",Database!F167)</f>
        <v/>
      </c>
      <c r="G167" s="30">
        <f>IF(Database!B167="","",Database!G167)</f>
        <v/>
      </c>
      <c r="H167" s="30">
        <f>IF(Database!B167="","",Database!C167)</f>
        <v/>
      </c>
      <c r="I167" s="30">
        <f>IF(Database!B167="","",Database!H167)</f>
        <v/>
      </c>
      <c r="J167" s="31" t="n"/>
      <c r="K167" s="88" t="n"/>
      <c r="L167" s="31" t="n"/>
      <c r="M167" s="31" t="n"/>
      <c r="N167" s="31" t="n"/>
      <c r="O167" s="32" t="n"/>
    </row>
    <row r="168">
      <c r="A168" s="30">
        <f>IF(Database!B168="","",ROW()-1)</f>
        <v/>
      </c>
      <c r="B168" s="30">
        <f>IF(Database!B168="","",Database!B168)</f>
        <v/>
      </c>
      <c r="C168" s="87">
        <f>IF(Database!B168="","",Database!A168)</f>
        <v/>
      </c>
      <c r="D168" s="30">
        <f>IF(Database!B168="","",Database!D168)</f>
        <v/>
      </c>
      <c r="E168" s="30">
        <f>IF(Database!B168="","",Database!E168)</f>
        <v/>
      </c>
      <c r="F168" s="30">
        <f>IF(Database!B168="","",Database!F168)</f>
        <v/>
      </c>
      <c r="G168" s="30">
        <f>IF(Database!B168="","",Database!G168)</f>
        <v/>
      </c>
      <c r="H168" s="30">
        <f>IF(Database!B168="","",Database!C168)</f>
        <v/>
      </c>
      <c r="I168" s="30">
        <f>IF(Database!B168="","",Database!H168)</f>
        <v/>
      </c>
      <c r="J168" s="31" t="n"/>
      <c r="K168" s="88" t="n"/>
      <c r="L168" s="31" t="n"/>
      <c r="M168" s="31" t="n"/>
      <c r="N168" s="31" t="n"/>
      <c r="O168" s="32" t="n"/>
    </row>
    <row r="169">
      <c r="A169" s="30">
        <f>IF(Database!B169="","",ROW()-1)</f>
        <v/>
      </c>
      <c r="B169" s="30">
        <f>IF(Database!B169="","",Database!B169)</f>
        <v/>
      </c>
      <c r="C169" s="87">
        <f>IF(Database!B169="","",Database!A169)</f>
        <v/>
      </c>
      <c r="D169" s="30">
        <f>IF(Database!B169="","",Database!D169)</f>
        <v/>
      </c>
      <c r="E169" s="30">
        <f>IF(Database!B169="","",Database!E169)</f>
        <v/>
      </c>
      <c r="F169" s="30">
        <f>IF(Database!B169="","",Database!F169)</f>
        <v/>
      </c>
      <c r="G169" s="30">
        <f>IF(Database!B169="","",Database!G169)</f>
        <v/>
      </c>
      <c r="H169" s="30">
        <f>IF(Database!B169="","",Database!C169)</f>
        <v/>
      </c>
      <c r="I169" s="30">
        <f>IF(Database!B169="","",Database!H169)</f>
        <v/>
      </c>
      <c r="J169" s="31" t="n"/>
      <c r="K169" s="88" t="n"/>
      <c r="L169" s="31" t="n"/>
      <c r="M169" s="31" t="n"/>
      <c r="N169" s="31" t="n"/>
      <c r="O169" s="32" t="n"/>
    </row>
    <row r="170">
      <c r="A170" s="30">
        <f>IF(Database!B170="","",ROW()-1)</f>
        <v/>
      </c>
      <c r="B170" s="30">
        <f>IF(Database!B170="","",Database!B170)</f>
        <v/>
      </c>
      <c r="C170" s="87">
        <f>IF(Database!B170="","",Database!A170)</f>
        <v/>
      </c>
      <c r="D170" s="30">
        <f>IF(Database!B170="","",Database!D170)</f>
        <v/>
      </c>
      <c r="E170" s="30">
        <f>IF(Database!B170="","",Database!E170)</f>
        <v/>
      </c>
      <c r="F170" s="30">
        <f>IF(Database!B170="","",Database!F170)</f>
        <v/>
      </c>
      <c r="G170" s="30">
        <f>IF(Database!B170="","",Database!G170)</f>
        <v/>
      </c>
      <c r="H170" s="30">
        <f>IF(Database!B170="","",Database!C170)</f>
        <v/>
      </c>
      <c r="I170" s="30">
        <f>IF(Database!B170="","",Database!H170)</f>
        <v/>
      </c>
      <c r="J170" s="31" t="n"/>
      <c r="K170" s="88" t="n"/>
      <c r="L170" s="31" t="n"/>
      <c r="M170" s="31" t="n"/>
      <c r="N170" s="31" t="n"/>
      <c r="O170" s="32" t="n"/>
    </row>
    <row r="171">
      <c r="A171" s="30">
        <f>IF(Database!B171="","",ROW()-1)</f>
        <v/>
      </c>
      <c r="B171" s="30">
        <f>IF(Database!B171="","",Database!B171)</f>
        <v/>
      </c>
      <c r="C171" s="87">
        <f>IF(Database!B171="","",Database!A171)</f>
        <v/>
      </c>
      <c r="D171" s="30">
        <f>IF(Database!B171="","",Database!D171)</f>
        <v/>
      </c>
      <c r="E171" s="30">
        <f>IF(Database!B171="","",Database!E171)</f>
        <v/>
      </c>
      <c r="F171" s="30">
        <f>IF(Database!B171="","",Database!F171)</f>
        <v/>
      </c>
      <c r="G171" s="30">
        <f>IF(Database!B171="","",Database!G171)</f>
        <v/>
      </c>
      <c r="H171" s="30">
        <f>IF(Database!B171="","",Database!C171)</f>
        <v/>
      </c>
      <c r="I171" s="30">
        <f>IF(Database!B171="","",Database!H171)</f>
        <v/>
      </c>
      <c r="J171" s="31" t="n"/>
      <c r="K171" s="88" t="n"/>
      <c r="L171" s="31" t="n"/>
      <c r="M171" s="31" t="n"/>
      <c r="N171" s="31" t="n"/>
      <c r="O171" s="32" t="n"/>
    </row>
    <row r="172">
      <c r="A172" s="30">
        <f>IF(Database!B172="","",ROW()-1)</f>
        <v/>
      </c>
      <c r="B172" s="30">
        <f>IF(Database!B172="","",Database!B172)</f>
        <v/>
      </c>
      <c r="C172" s="87">
        <f>IF(Database!B172="","",Database!A172)</f>
        <v/>
      </c>
      <c r="D172" s="30">
        <f>IF(Database!B172="","",Database!D172)</f>
        <v/>
      </c>
      <c r="E172" s="30">
        <f>IF(Database!B172="","",Database!E172)</f>
        <v/>
      </c>
      <c r="F172" s="30">
        <f>IF(Database!B172="","",Database!F172)</f>
        <v/>
      </c>
      <c r="G172" s="30">
        <f>IF(Database!B172="","",Database!G172)</f>
        <v/>
      </c>
      <c r="H172" s="30">
        <f>IF(Database!B172="","",Database!C172)</f>
        <v/>
      </c>
      <c r="I172" s="30">
        <f>IF(Database!B172="","",Database!H172)</f>
        <v/>
      </c>
      <c r="J172" s="31" t="n"/>
      <c r="K172" s="88" t="n"/>
      <c r="L172" s="31" t="n"/>
      <c r="M172" s="31" t="n"/>
      <c r="N172" s="31" t="n"/>
      <c r="O172" s="32" t="n"/>
    </row>
    <row r="173">
      <c r="A173" s="30">
        <f>IF(Database!B173="","",ROW()-1)</f>
        <v/>
      </c>
      <c r="B173" s="30">
        <f>IF(Database!B173="","",Database!B173)</f>
        <v/>
      </c>
      <c r="C173" s="87">
        <f>IF(Database!B173="","",Database!A173)</f>
        <v/>
      </c>
      <c r="D173" s="30">
        <f>IF(Database!B173="","",Database!D173)</f>
        <v/>
      </c>
      <c r="E173" s="30">
        <f>IF(Database!B173="","",Database!E173)</f>
        <v/>
      </c>
      <c r="F173" s="30">
        <f>IF(Database!B173="","",Database!F173)</f>
        <v/>
      </c>
      <c r="G173" s="30">
        <f>IF(Database!B173="","",Database!G173)</f>
        <v/>
      </c>
      <c r="H173" s="30">
        <f>IF(Database!B173="","",Database!C173)</f>
        <v/>
      </c>
      <c r="I173" s="30">
        <f>IF(Database!B173="","",Database!H173)</f>
        <v/>
      </c>
      <c r="J173" s="31" t="n"/>
      <c r="K173" s="88" t="n"/>
      <c r="L173" s="31" t="n"/>
      <c r="M173" s="31" t="n"/>
      <c r="N173" s="31" t="n"/>
      <c r="O173" s="32" t="n"/>
    </row>
    <row r="174">
      <c r="A174" s="30">
        <f>IF(Database!B174="","",ROW()-1)</f>
        <v/>
      </c>
      <c r="B174" s="30">
        <f>IF(Database!B174="","",Database!B174)</f>
        <v/>
      </c>
      <c r="C174" s="87">
        <f>IF(Database!B174="","",Database!A174)</f>
        <v/>
      </c>
      <c r="D174" s="30">
        <f>IF(Database!B174="","",Database!D174)</f>
        <v/>
      </c>
      <c r="E174" s="30">
        <f>IF(Database!B174="","",Database!E174)</f>
        <v/>
      </c>
      <c r="F174" s="30">
        <f>IF(Database!B174="","",Database!F174)</f>
        <v/>
      </c>
      <c r="G174" s="30">
        <f>IF(Database!B174="","",Database!G174)</f>
        <v/>
      </c>
      <c r="H174" s="30">
        <f>IF(Database!B174="","",Database!C174)</f>
        <v/>
      </c>
      <c r="I174" s="30">
        <f>IF(Database!B174="","",Database!H174)</f>
        <v/>
      </c>
      <c r="J174" s="31" t="n"/>
      <c r="K174" s="88" t="n"/>
      <c r="L174" s="31" t="n"/>
      <c r="M174" s="31" t="n"/>
      <c r="N174" s="31" t="n"/>
      <c r="O174" s="32" t="n"/>
    </row>
    <row r="175">
      <c r="A175" s="30">
        <f>IF(Database!B175="","",ROW()-1)</f>
        <v/>
      </c>
      <c r="B175" s="30">
        <f>IF(Database!B175="","",Database!B175)</f>
        <v/>
      </c>
      <c r="C175" s="87">
        <f>IF(Database!B175="","",Database!A175)</f>
        <v/>
      </c>
      <c r="D175" s="30">
        <f>IF(Database!B175="","",Database!D175)</f>
        <v/>
      </c>
      <c r="E175" s="30">
        <f>IF(Database!B175="","",Database!E175)</f>
        <v/>
      </c>
      <c r="F175" s="30">
        <f>IF(Database!B175="","",Database!F175)</f>
        <v/>
      </c>
      <c r="G175" s="30">
        <f>IF(Database!B175="","",Database!G175)</f>
        <v/>
      </c>
      <c r="H175" s="30">
        <f>IF(Database!B175="","",Database!C175)</f>
        <v/>
      </c>
      <c r="I175" s="30">
        <f>IF(Database!B175="","",Database!H175)</f>
        <v/>
      </c>
      <c r="J175" s="31" t="n"/>
      <c r="K175" s="88" t="n"/>
      <c r="L175" s="31" t="n"/>
      <c r="M175" s="31" t="n"/>
      <c r="N175" s="31" t="n"/>
      <c r="O175" s="32" t="n"/>
    </row>
    <row r="176">
      <c r="A176" s="30">
        <f>IF(Database!B176="","",ROW()-1)</f>
        <v/>
      </c>
      <c r="B176" s="30">
        <f>IF(Database!B176="","",Database!B176)</f>
        <v/>
      </c>
      <c r="C176" s="87">
        <f>IF(Database!B176="","",Database!A176)</f>
        <v/>
      </c>
      <c r="D176" s="30">
        <f>IF(Database!B176="","",Database!D176)</f>
        <v/>
      </c>
      <c r="E176" s="30">
        <f>IF(Database!B176="","",Database!E176)</f>
        <v/>
      </c>
      <c r="F176" s="30">
        <f>IF(Database!B176="","",Database!F176)</f>
        <v/>
      </c>
      <c r="G176" s="30">
        <f>IF(Database!B176="","",Database!G176)</f>
        <v/>
      </c>
      <c r="H176" s="30">
        <f>IF(Database!B176="","",Database!C176)</f>
        <v/>
      </c>
      <c r="I176" s="30">
        <f>IF(Database!B176="","",Database!H176)</f>
        <v/>
      </c>
      <c r="J176" s="31" t="n"/>
      <c r="K176" s="88" t="n"/>
      <c r="L176" s="31" t="n"/>
      <c r="M176" s="31" t="n"/>
      <c r="N176" s="31" t="n"/>
      <c r="O176" s="32" t="n"/>
    </row>
    <row r="177">
      <c r="A177" s="30">
        <f>IF(Database!B177="","",ROW()-1)</f>
        <v/>
      </c>
      <c r="B177" s="30">
        <f>IF(Database!B177="","",Database!B177)</f>
        <v/>
      </c>
      <c r="C177" s="87">
        <f>IF(Database!B177="","",Database!A177)</f>
        <v/>
      </c>
      <c r="D177" s="30">
        <f>IF(Database!B177="","",Database!D177)</f>
        <v/>
      </c>
      <c r="E177" s="30">
        <f>IF(Database!B177="","",Database!E177)</f>
        <v/>
      </c>
      <c r="F177" s="30">
        <f>IF(Database!B177="","",Database!F177)</f>
        <v/>
      </c>
      <c r="G177" s="30">
        <f>IF(Database!B177="","",Database!G177)</f>
        <v/>
      </c>
      <c r="H177" s="30">
        <f>IF(Database!B177="","",Database!C177)</f>
        <v/>
      </c>
      <c r="I177" s="30">
        <f>IF(Database!B177="","",Database!H177)</f>
        <v/>
      </c>
      <c r="J177" s="31" t="n"/>
      <c r="K177" s="88" t="n"/>
      <c r="L177" s="31" t="n"/>
      <c r="M177" s="31" t="n"/>
      <c r="N177" s="31" t="n"/>
      <c r="O177" s="32" t="n"/>
    </row>
    <row r="178">
      <c r="A178" s="30">
        <f>IF(Database!B178="","",ROW()-1)</f>
        <v/>
      </c>
      <c r="B178" s="30">
        <f>IF(Database!B178="","",Database!B178)</f>
        <v/>
      </c>
      <c r="C178" s="87">
        <f>IF(Database!B178="","",Database!A178)</f>
        <v/>
      </c>
      <c r="D178" s="30">
        <f>IF(Database!B178="","",Database!D178)</f>
        <v/>
      </c>
      <c r="E178" s="30">
        <f>IF(Database!B178="","",Database!E178)</f>
        <v/>
      </c>
      <c r="F178" s="30">
        <f>IF(Database!B178="","",Database!F178)</f>
        <v/>
      </c>
      <c r="G178" s="30">
        <f>IF(Database!B178="","",Database!G178)</f>
        <v/>
      </c>
      <c r="H178" s="30">
        <f>IF(Database!B178="","",Database!C178)</f>
        <v/>
      </c>
      <c r="I178" s="30">
        <f>IF(Database!B178="","",Database!H178)</f>
        <v/>
      </c>
      <c r="J178" s="31" t="n"/>
      <c r="K178" s="88" t="n"/>
      <c r="L178" s="31" t="n"/>
      <c r="M178" s="31" t="n"/>
      <c r="N178" s="31" t="n"/>
      <c r="O178" s="32" t="n"/>
    </row>
    <row r="179">
      <c r="A179" s="30">
        <f>IF(Database!B179="","",ROW()-1)</f>
        <v/>
      </c>
      <c r="B179" s="30">
        <f>IF(Database!B179="","",Database!B179)</f>
        <v/>
      </c>
      <c r="C179" s="87">
        <f>IF(Database!B179="","",Database!A179)</f>
        <v/>
      </c>
      <c r="D179" s="30">
        <f>IF(Database!B179="","",Database!D179)</f>
        <v/>
      </c>
      <c r="E179" s="30">
        <f>IF(Database!B179="","",Database!E179)</f>
        <v/>
      </c>
      <c r="F179" s="30">
        <f>IF(Database!B179="","",Database!F179)</f>
        <v/>
      </c>
      <c r="G179" s="30">
        <f>IF(Database!B179="","",Database!G179)</f>
        <v/>
      </c>
      <c r="H179" s="30">
        <f>IF(Database!B179="","",Database!C179)</f>
        <v/>
      </c>
      <c r="I179" s="30">
        <f>IF(Database!B179="","",Database!H179)</f>
        <v/>
      </c>
      <c r="J179" s="31" t="n"/>
      <c r="K179" s="88" t="n"/>
      <c r="L179" s="31" t="n"/>
      <c r="M179" s="31" t="n"/>
      <c r="N179" s="31" t="n"/>
      <c r="O179" s="32" t="n"/>
    </row>
    <row r="180">
      <c r="A180" s="30">
        <f>IF(Database!B180="","",ROW()-1)</f>
        <v/>
      </c>
      <c r="B180" s="30">
        <f>IF(Database!B180="","",Database!B180)</f>
        <v/>
      </c>
      <c r="C180" s="87">
        <f>IF(Database!B180="","",Database!A180)</f>
        <v/>
      </c>
      <c r="D180" s="30">
        <f>IF(Database!B180="","",Database!D180)</f>
        <v/>
      </c>
      <c r="E180" s="30">
        <f>IF(Database!B180="","",Database!E180)</f>
        <v/>
      </c>
      <c r="F180" s="30">
        <f>IF(Database!B180="","",Database!F180)</f>
        <v/>
      </c>
      <c r="G180" s="30">
        <f>IF(Database!B180="","",Database!G180)</f>
        <v/>
      </c>
      <c r="H180" s="30">
        <f>IF(Database!B180="","",Database!C180)</f>
        <v/>
      </c>
      <c r="I180" s="30">
        <f>IF(Database!B180="","",Database!H180)</f>
        <v/>
      </c>
      <c r="J180" s="31" t="n"/>
      <c r="K180" s="88" t="n"/>
      <c r="L180" s="31" t="n"/>
      <c r="M180" s="31" t="n"/>
      <c r="N180" s="31" t="n"/>
      <c r="O180" s="32" t="n"/>
    </row>
    <row r="181">
      <c r="A181" s="30">
        <f>IF(Database!B181="","",ROW()-1)</f>
        <v/>
      </c>
      <c r="B181" s="30">
        <f>IF(Database!B181="","",Database!B181)</f>
        <v/>
      </c>
      <c r="C181" s="87">
        <f>IF(Database!B181="","",Database!A181)</f>
        <v/>
      </c>
      <c r="D181" s="30">
        <f>IF(Database!B181="","",Database!D181)</f>
        <v/>
      </c>
      <c r="E181" s="30">
        <f>IF(Database!B181="","",Database!E181)</f>
        <v/>
      </c>
      <c r="F181" s="30">
        <f>IF(Database!B181="","",Database!F181)</f>
        <v/>
      </c>
      <c r="G181" s="30">
        <f>IF(Database!B181="","",Database!G181)</f>
        <v/>
      </c>
      <c r="H181" s="30">
        <f>IF(Database!B181="","",Database!C181)</f>
        <v/>
      </c>
      <c r="I181" s="30">
        <f>IF(Database!B181="","",Database!H181)</f>
        <v/>
      </c>
      <c r="J181" s="31" t="n"/>
      <c r="K181" s="88" t="n"/>
      <c r="L181" s="31" t="n"/>
      <c r="M181" s="31" t="n"/>
      <c r="N181" s="31" t="n"/>
      <c r="O181" s="32" t="n"/>
    </row>
    <row r="182">
      <c r="A182" s="30">
        <f>IF(Database!B182="","",ROW()-1)</f>
        <v/>
      </c>
      <c r="B182" s="30">
        <f>IF(Database!B182="","",Database!B182)</f>
        <v/>
      </c>
      <c r="C182" s="87">
        <f>IF(Database!B182="","",Database!A182)</f>
        <v/>
      </c>
      <c r="D182" s="30">
        <f>IF(Database!B182="","",Database!D182)</f>
        <v/>
      </c>
      <c r="E182" s="30">
        <f>IF(Database!B182="","",Database!E182)</f>
        <v/>
      </c>
      <c r="F182" s="30">
        <f>IF(Database!B182="","",Database!F182)</f>
        <v/>
      </c>
      <c r="G182" s="30">
        <f>IF(Database!B182="","",Database!G182)</f>
        <v/>
      </c>
      <c r="H182" s="30">
        <f>IF(Database!B182="","",Database!C182)</f>
        <v/>
      </c>
      <c r="I182" s="30">
        <f>IF(Database!B182="","",Database!H182)</f>
        <v/>
      </c>
      <c r="J182" s="31" t="n"/>
      <c r="K182" s="88" t="n"/>
      <c r="L182" s="31" t="n"/>
      <c r="M182" s="31" t="n"/>
      <c r="N182" s="31" t="n"/>
      <c r="O182" s="32" t="n"/>
    </row>
    <row r="183">
      <c r="A183" s="30">
        <f>IF(Database!B183="","",ROW()-1)</f>
        <v/>
      </c>
      <c r="B183" s="30">
        <f>IF(Database!B183="","",Database!B183)</f>
        <v/>
      </c>
      <c r="C183" s="87">
        <f>IF(Database!B183="","",Database!A183)</f>
        <v/>
      </c>
      <c r="D183" s="30">
        <f>IF(Database!B183="","",Database!D183)</f>
        <v/>
      </c>
      <c r="E183" s="30">
        <f>IF(Database!B183="","",Database!E183)</f>
        <v/>
      </c>
      <c r="F183" s="30">
        <f>IF(Database!B183="","",Database!F183)</f>
        <v/>
      </c>
      <c r="G183" s="30">
        <f>IF(Database!B183="","",Database!G183)</f>
        <v/>
      </c>
      <c r="H183" s="30">
        <f>IF(Database!B183="","",Database!C183)</f>
        <v/>
      </c>
      <c r="I183" s="30">
        <f>IF(Database!B183="","",Database!H183)</f>
        <v/>
      </c>
      <c r="J183" s="31" t="n"/>
      <c r="K183" s="88" t="n"/>
      <c r="L183" s="31" t="n"/>
      <c r="M183" s="31" t="n"/>
      <c r="N183" s="31" t="n"/>
      <c r="O183" s="32" t="n"/>
    </row>
    <row r="184">
      <c r="A184" s="30">
        <f>IF(Database!B184="","",ROW()-1)</f>
        <v/>
      </c>
      <c r="B184" s="30">
        <f>IF(Database!B184="","",Database!B184)</f>
        <v/>
      </c>
      <c r="C184" s="87">
        <f>IF(Database!B184="","",Database!A184)</f>
        <v/>
      </c>
      <c r="D184" s="30">
        <f>IF(Database!B184="","",Database!D184)</f>
        <v/>
      </c>
      <c r="E184" s="30">
        <f>IF(Database!B184="","",Database!E184)</f>
        <v/>
      </c>
      <c r="F184" s="30">
        <f>IF(Database!B184="","",Database!F184)</f>
        <v/>
      </c>
      <c r="G184" s="30">
        <f>IF(Database!B184="","",Database!G184)</f>
        <v/>
      </c>
      <c r="H184" s="30">
        <f>IF(Database!B184="","",Database!C184)</f>
        <v/>
      </c>
      <c r="I184" s="30">
        <f>IF(Database!B184="","",Database!H184)</f>
        <v/>
      </c>
      <c r="J184" s="31" t="n"/>
      <c r="K184" s="88" t="n"/>
      <c r="L184" s="31" t="n"/>
      <c r="M184" s="31" t="n"/>
      <c r="N184" s="31" t="n"/>
      <c r="O184" s="32" t="n"/>
    </row>
    <row r="185">
      <c r="A185" s="30">
        <f>IF(Database!B185="","",ROW()-1)</f>
        <v/>
      </c>
      <c r="B185" s="30">
        <f>IF(Database!B185="","",Database!B185)</f>
        <v/>
      </c>
      <c r="C185" s="87">
        <f>IF(Database!B185="","",Database!A185)</f>
        <v/>
      </c>
      <c r="D185" s="30">
        <f>IF(Database!B185="","",Database!D185)</f>
        <v/>
      </c>
      <c r="E185" s="30">
        <f>IF(Database!B185="","",Database!E185)</f>
        <v/>
      </c>
      <c r="F185" s="30">
        <f>IF(Database!B185="","",Database!F185)</f>
        <v/>
      </c>
      <c r="G185" s="30">
        <f>IF(Database!B185="","",Database!G185)</f>
        <v/>
      </c>
      <c r="H185" s="30">
        <f>IF(Database!B185="","",Database!C185)</f>
        <v/>
      </c>
      <c r="I185" s="30">
        <f>IF(Database!B185="","",Database!H185)</f>
        <v/>
      </c>
      <c r="J185" s="31" t="n"/>
      <c r="K185" s="88" t="n"/>
      <c r="L185" s="31" t="n"/>
      <c r="M185" s="31" t="n"/>
      <c r="N185" s="31" t="n"/>
      <c r="O185" s="32" t="n"/>
    </row>
    <row r="186">
      <c r="A186" s="30">
        <f>IF(Database!B186="","",ROW()-1)</f>
        <v/>
      </c>
      <c r="B186" s="30">
        <f>IF(Database!B186="","",Database!B186)</f>
        <v/>
      </c>
      <c r="C186" s="87">
        <f>IF(Database!B186="","",Database!A186)</f>
        <v/>
      </c>
      <c r="D186" s="30">
        <f>IF(Database!B186="","",Database!D186)</f>
        <v/>
      </c>
      <c r="E186" s="30">
        <f>IF(Database!B186="","",Database!E186)</f>
        <v/>
      </c>
      <c r="F186" s="30">
        <f>IF(Database!B186="","",Database!F186)</f>
        <v/>
      </c>
      <c r="G186" s="30">
        <f>IF(Database!B186="","",Database!G186)</f>
        <v/>
      </c>
      <c r="H186" s="30">
        <f>IF(Database!B186="","",Database!C186)</f>
        <v/>
      </c>
      <c r="I186" s="30">
        <f>IF(Database!B186="","",Database!H186)</f>
        <v/>
      </c>
      <c r="J186" s="31" t="n"/>
      <c r="K186" s="88" t="n"/>
      <c r="L186" s="31" t="n"/>
      <c r="M186" s="31" t="n"/>
      <c r="N186" s="31" t="n"/>
      <c r="O186" s="32" t="n"/>
    </row>
    <row r="187">
      <c r="A187" s="30">
        <f>IF(Database!B187="","",ROW()-1)</f>
        <v/>
      </c>
      <c r="B187" s="30">
        <f>IF(Database!B187="","",Database!B187)</f>
        <v/>
      </c>
      <c r="C187" s="87">
        <f>IF(Database!B187="","",Database!A187)</f>
        <v/>
      </c>
      <c r="D187" s="30">
        <f>IF(Database!B187="","",Database!D187)</f>
        <v/>
      </c>
      <c r="E187" s="30">
        <f>IF(Database!B187="","",Database!E187)</f>
        <v/>
      </c>
      <c r="F187" s="30">
        <f>IF(Database!B187="","",Database!F187)</f>
        <v/>
      </c>
      <c r="G187" s="30">
        <f>IF(Database!B187="","",Database!G187)</f>
        <v/>
      </c>
      <c r="H187" s="30">
        <f>IF(Database!B187="","",Database!C187)</f>
        <v/>
      </c>
      <c r="I187" s="30">
        <f>IF(Database!B187="","",Database!H187)</f>
        <v/>
      </c>
      <c r="J187" s="31" t="n"/>
      <c r="K187" s="88" t="n"/>
      <c r="L187" s="31" t="n"/>
      <c r="M187" s="31" t="n"/>
      <c r="N187" s="31" t="n"/>
      <c r="O187" s="32" t="n"/>
    </row>
    <row r="188">
      <c r="A188" s="30">
        <f>IF(Database!B188="","",ROW()-1)</f>
        <v/>
      </c>
      <c r="B188" s="30">
        <f>IF(Database!B188="","",Database!B188)</f>
        <v/>
      </c>
      <c r="C188" s="87">
        <f>IF(Database!B188="","",Database!A188)</f>
        <v/>
      </c>
      <c r="D188" s="30">
        <f>IF(Database!B188="","",Database!D188)</f>
        <v/>
      </c>
      <c r="E188" s="30">
        <f>IF(Database!B188="","",Database!E188)</f>
        <v/>
      </c>
      <c r="F188" s="30">
        <f>IF(Database!B188="","",Database!F188)</f>
        <v/>
      </c>
      <c r="G188" s="30">
        <f>IF(Database!B188="","",Database!G188)</f>
        <v/>
      </c>
      <c r="H188" s="30">
        <f>IF(Database!B188="","",Database!C188)</f>
        <v/>
      </c>
      <c r="I188" s="30">
        <f>IF(Database!B188="","",Database!H188)</f>
        <v/>
      </c>
      <c r="J188" s="31" t="n"/>
      <c r="K188" s="88" t="n"/>
      <c r="L188" s="31" t="n"/>
      <c r="M188" s="31" t="n"/>
      <c r="N188" s="31" t="n"/>
      <c r="O188" s="32" t="n"/>
    </row>
    <row r="189">
      <c r="A189" s="30">
        <f>IF(Database!B189="","",ROW()-1)</f>
        <v/>
      </c>
      <c r="B189" s="30">
        <f>IF(Database!B189="","",Database!B189)</f>
        <v/>
      </c>
      <c r="C189" s="87">
        <f>IF(Database!B189="","",Database!A189)</f>
        <v/>
      </c>
      <c r="D189" s="30">
        <f>IF(Database!B189="","",Database!D189)</f>
        <v/>
      </c>
      <c r="E189" s="30">
        <f>IF(Database!B189="","",Database!E189)</f>
        <v/>
      </c>
      <c r="F189" s="30">
        <f>IF(Database!B189="","",Database!F189)</f>
        <v/>
      </c>
      <c r="G189" s="30">
        <f>IF(Database!B189="","",Database!G189)</f>
        <v/>
      </c>
      <c r="H189" s="30">
        <f>IF(Database!B189="","",Database!C189)</f>
        <v/>
      </c>
      <c r="I189" s="30">
        <f>IF(Database!B189="","",Database!H189)</f>
        <v/>
      </c>
      <c r="J189" s="31" t="n"/>
      <c r="K189" s="88" t="n"/>
      <c r="L189" s="31" t="n"/>
      <c r="M189" s="31" t="n"/>
      <c r="N189" s="31" t="n"/>
      <c r="O189" s="32" t="n"/>
    </row>
    <row r="190">
      <c r="A190" s="30">
        <f>IF(Database!B190="","",ROW()-1)</f>
        <v/>
      </c>
      <c r="B190" s="30">
        <f>IF(Database!B190="","",Database!B190)</f>
        <v/>
      </c>
      <c r="C190" s="87">
        <f>IF(Database!B190="","",Database!A190)</f>
        <v/>
      </c>
      <c r="D190" s="30">
        <f>IF(Database!B190="","",Database!D190)</f>
        <v/>
      </c>
      <c r="E190" s="30">
        <f>IF(Database!B190="","",Database!E190)</f>
        <v/>
      </c>
      <c r="F190" s="30">
        <f>IF(Database!B190="","",Database!F190)</f>
        <v/>
      </c>
      <c r="G190" s="30">
        <f>IF(Database!B190="","",Database!G190)</f>
        <v/>
      </c>
      <c r="H190" s="30">
        <f>IF(Database!B190="","",Database!C190)</f>
        <v/>
      </c>
      <c r="I190" s="30">
        <f>IF(Database!B190="","",Database!H190)</f>
        <v/>
      </c>
      <c r="J190" s="31" t="n"/>
      <c r="K190" s="88" t="n"/>
      <c r="L190" s="31" t="n"/>
      <c r="M190" s="31" t="n"/>
      <c r="N190" s="31" t="n"/>
      <c r="O190" s="32" t="n"/>
    </row>
    <row r="191">
      <c r="A191" s="30">
        <f>IF(Database!B191="","",ROW()-1)</f>
        <v/>
      </c>
      <c r="B191" s="30">
        <f>IF(Database!B191="","",Database!B191)</f>
        <v/>
      </c>
      <c r="C191" s="87">
        <f>IF(Database!B191="","",Database!A191)</f>
        <v/>
      </c>
      <c r="D191" s="30">
        <f>IF(Database!B191="","",Database!D191)</f>
        <v/>
      </c>
      <c r="E191" s="30">
        <f>IF(Database!B191="","",Database!E191)</f>
        <v/>
      </c>
      <c r="F191" s="30">
        <f>IF(Database!B191="","",Database!F191)</f>
        <v/>
      </c>
      <c r="G191" s="30">
        <f>IF(Database!B191="","",Database!G191)</f>
        <v/>
      </c>
      <c r="H191" s="30">
        <f>IF(Database!B191="","",Database!C191)</f>
        <v/>
      </c>
      <c r="I191" s="30">
        <f>IF(Database!B191="","",Database!H191)</f>
        <v/>
      </c>
      <c r="J191" s="31" t="n"/>
      <c r="K191" s="88" t="n"/>
      <c r="L191" s="31" t="n"/>
      <c r="M191" s="31" t="n"/>
      <c r="N191" s="31" t="n"/>
      <c r="O191" s="32" t="n"/>
    </row>
    <row r="192">
      <c r="A192" s="30">
        <f>IF(Database!B192="","",ROW()-1)</f>
        <v/>
      </c>
      <c r="B192" s="30">
        <f>IF(Database!B192="","",Database!B192)</f>
        <v/>
      </c>
      <c r="C192" s="87">
        <f>IF(Database!B192="","",Database!A192)</f>
        <v/>
      </c>
      <c r="D192" s="30">
        <f>IF(Database!B192="","",Database!D192)</f>
        <v/>
      </c>
      <c r="E192" s="30">
        <f>IF(Database!B192="","",Database!E192)</f>
        <v/>
      </c>
      <c r="F192" s="30">
        <f>IF(Database!B192="","",Database!F192)</f>
        <v/>
      </c>
      <c r="G192" s="30">
        <f>IF(Database!B192="","",Database!G192)</f>
        <v/>
      </c>
      <c r="H192" s="30">
        <f>IF(Database!B192="","",Database!C192)</f>
        <v/>
      </c>
      <c r="I192" s="30">
        <f>IF(Database!B192="","",Database!H192)</f>
        <v/>
      </c>
      <c r="J192" s="31" t="n"/>
      <c r="K192" s="88" t="n"/>
      <c r="L192" s="31" t="n"/>
      <c r="M192" s="31" t="n"/>
      <c r="N192" s="31" t="n"/>
      <c r="O192" s="32" t="n"/>
    </row>
    <row r="193">
      <c r="A193" s="30">
        <f>IF(Database!B193="","",ROW()-1)</f>
        <v/>
      </c>
      <c r="B193" s="30">
        <f>IF(Database!B193="","",Database!B193)</f>
        <v/>
      </c>
      <c r="C193" s="87">
        <f>IF(Database!B193="","",Database!A193)</f>
        <v/>
      </c>
      <c r="D193" s="30">
        <f>IF(Database!B193="","",Database!D193)</f>
        <v/>
      </c>
      <c r="E193" s="30">
        <f>IF(Database!B193="","",Database!E193)</f>
        <v/>
      </c>
      <c r="F193" s="30">
        <f>IF(Database!B193="","",Database!F193)</f>
        <v/>
      </c>
      <c r="G193" s="30">
        <f>IF(Database!B193="","",Database!G193)</f>
        <v/>
      </c>
      <c r="H193" s="30">
        <f>IF(Database!B193="","",Database!C193)</f>
        <v/>
      </c>
      <c r="I193" s="30">
        <f>IF(Database!B193="","",Database!H193)</f>
        <v/>
      </c>
      <c r="J193" s="31" t="n"/>
      <c r="K193" s="88" t="n"/>
      <c r="L193" s="31" t="n"/>
      <c r="M193" s="31" t="n"/>
      <c r="N193" s="31" t="n"/>
      <c r="O193" s="32" t="n"/>
    </row>
    <row r="194">
      <c r="A194" s="30">
        <f>IF(Database!B194="","",ROW()-1)</f>
        <v/>
      </c>
      <c r="B194" s="30">
        <f>IF(Database!B194="","",Database!B194)</f>
        <v/>
      </c>
      <c r="C194" s="87">
        <f>IF(Database!B194="","",Database!A194)</f>
        <v/>
      </c>
      <c r="D194" s="30">
        <f>IF(Database!B194="","",Database!D194)</f>
        <v/>
      </c>
      <c r="E194" s="30">
        <f>IF(Database!B194="","",Database!E194)</f>
        <v/>
      </c>
      <c r="F194" s="30">
        <f>IF(Database!B194="","",Database!F194)</f>
        <v/>
      </c>
      <c r="G194" s="30">
        <f>IF(Database!B194="","",Database!G194)</f>
        <v/>
      </c>
      <c r="H194" s="30">
        <f>IF(Database!B194="","",Database!C194)</f>
        <v/>
      </c>
      <c r="I194" s="30">
        <f>IF(Database!B194="","",Database!H194)</f>
        <v/>
      </c>
      <c r="J194" s="31" t="n"/>
      <c r="K194" s="88" t="n"/>
      <c r="L194" s="31" t="n"/>
      <c r="M194" s="31" t="n"/>
      <c r="N194" s="31" t="n"/>
      <c r="O194" s="32" t="n"/>
    </row>
    <row r="195">
      <c r="A195" s="30">
        <f>IF(Database!B195="","",ROW()-1)</f>
        <v/>
      </c>
      <c r="B195" s="30">
        <f>IF(Database!B195="","",Database!B195)</f>
        <v/>
      </c>
      <c r="C195" s="87">
        <f>IF(Database!B195="","",Database!A195)</f>
        <v/>
      </c>
      <c r="D195" s="30">
        <f>IF(Database!B195="","",Database!D195)</f>
        <v/>
      </c>
      <c r="E195" s="30">
        <f>IF(Database!B195="","",Database!E195)</f>
        <v/>
      </c>
      <c r="F195" s="30">
        <f>IF(Database!B195="","",Database!F195)</f>
        <v/>
      </c>
      <c r="G195" s="30">
        <f>IF(Database!B195="","",Database!G195)</f>
        <v/>
      </c>
      <c r="H195" s="30">
        <f>IF(Database!B195="","",Database!C195)</f>
        <v/>
      </c>
      <c r="I195" s="30">
        <f>IF(Database!B195="","",Database!H195)</f>
        <v/>
      </c>
      <c r="J195" s="31" t="n"/>
      <c r="K195" s="88" t="n"/>
      <c r="L195" s="31" t="n"/>
      <c r="M195" s="31" t="n"/>
      <c r="N195" s="31" t="n"/>
      <c r="O195" s="32" t="n"/>
    </row>
    <row r="196">
      <c r="A196" s="30">
        <f>IF(Database!B196="","",ROW()-1)</f>
        <v/>
      </c>
      <c r="B196" s="30">
        <f>IF(Database!B196="","",Database!B196)</f>
        <v/>
      </c>
      <c r="C196" s="87">
        <f>IF(Database!B196="","",Database!A196)</f>
        <v/>
      </c>
      <c r="D196" s="30">
        <f>IF(Database!B196="","",Database!D196)</f>
        <v/>
      </c>
      <c r="E196" s="30">
        <f>IF(Database!B196="","",Database!E196)</f>
        <v/>
      </c>
      <c r="F196" s="30">
        <f>IF(Database!B196="","",Database!F196)</f>
        <v/>
      </c>
      <c r="G196" s="30">
        <f>IF(Database!B196="","",Database!G196)</f>
        <v/>
      </c>
      <c r="H196" s="30">
        <f>IF(Database!B196="","",Database!C196)</f>
        <v/>
      </c>
      <c r="I196" s="30">
        <f>IF(Database!B196="","",Database!H196)</f>
        <v/>
      </c>
      <c r="J196" s="31" t="n"/>
      <c r="K196" s="88" t="n"/>
      <c r="L196" s="31" t="n"/>
      <c r="M196" s="31" t="n"/>
      <c r="N196" s="31" t="n"/>
      <c r="O196" s="32" t="n"/>
    </row>
    <row r="197">
      <c r="A197" s="30">
        <f>IF(Database!B197="","",ROW()-1)</f>
        <v/>
      </c>
      <c r="B197" s="30">
        <f>IF(Database!B197="","",Database!B197)</f>
        <v/>
      </c>
      <c r="C197" s="87">
        <f>IF(Database!B197="","",Database!A197)</f>
        <v/>
      </c>
      <c r="D197" s="30">
        <f>IF(Database!B197="","",Database!D197)</f>
        <v/>
      </c>
      <c r="E197" s="30">
        <f>IF(Database!B197="","",Database!E197)</f>
        <v/>
      </c>
      <c r="F197" s="30">
        <f>IF(Database!B197="","",Database!F197)</f>
        <v/>
      </c>
      <c r="G197" s="30">
        <f>IF(Database!B197="","",Database!G197)</f>
        <v/>
      </c>
      <c r="H197" s="30">
        <f>IF(Database!B197="","",Database!C197)</f>
        <v/>
      </c>
      <c r="I197" s="30">
        <f>IF(Database!B197="","",Database!H197)</f>
        <v/>
      </c>
      <c r="J197" s="31" t="n"/>
      <c r="K197" s="88" t="n"/>
      <c r="L197" s="31" t="n"/>
      <c r="M197" s="31" t="n"/>
      <c r="N197" s="31" t="n"/>
      <c r="O197" s="32" t="n"/>
    </row>
    <row r="198">
      <c r="A198" s="30">
        <f>IF(Database!B198="","",ROW()-1)</f>
        <v/>
      </c>
      <c r="B198" s="30">
        <f>IF(Database!B198="","",Database!B198)</f>
        <v/>
      </c>
      <c r="C198" s="87">
        <f>IF(Database!B198="","",Database!A198)</f>
        <v/>
      </c>
      <c r="D198" s="30">
        <f>IF(Database!B198="","",Database!D198)</f>
        <v/>
      </c>
      <c r="E198" s="30">
        <f>IF(Database!B198="","",Database!E198)</f>
        <v/>
      </c>
      <c r="F198" s="30">
        <f>IF(Database!B198="","",Database!F198)</f>
        <v/>
      </c>
      <c r="G198" s="30">
        <f>IF(Database!B198="","",Database!G198)</f>
        <v/>
      </c>
      <c r="H198" s="30">
        <f>IF(Database!B198="","",Database!C198)</f>
        <v/>
      </c>
      <c r="I198" s="30">
        <f>IF(Database!B198="","",Database!H198)</f>
        <v/>
      </c>
      <c r="J198" s="31" t="n"/>
      <c r="K198" s="88" t="n"/>
      <c r="L198" s="31" t="n"/>
      <c r="M198" s="31" t="n"/>
      <c r="N198" s="31" t="n"/>
      <c r="O198" s="32" t="n"/>
    </row>
    <row r="199">
      <c r="A199" s="30">
        <f>IF(Database!B199="","",ROW()-1)</f>
        <v/>
      </c>
      <c r="B199" s="30">
        <f>IF(Database!B199="","",Database!B199)</f>
        <v/>
      </c>
      <c r="C199" s="87">
        <f>IF(Database!B199="","",Database!A199)</f>
        <v/>
      </c>
      <c r="D199" s="30">
        <f>IF(Database!B199="","",Database!D199)</f>
        <v/>
      </c>
      <c r="E199" s="30">
        <f>IF(Database!B199="","",Database!E199)</f>
        <v/>
      </c>
      <c r="F199" s="30">
        <f>IF(Database!B199="","",Database!F199)</f>
        <v/>
      </c>
      <c r="G199" s="30">
        <f>IF(Database!B199="","",Database!G199)</f>
        <v/>
      </c>
      <c r="H199" s="30">
        <f>IF(Database!B199="","",Database!C199)</f>
        <v/>
      </c>
      <c r="I199" s="30">
        <f>IF(Database!B199="","",Database!H199)</f>
        <v/>
      </c>
      <c r="J199" s="31" t="n"/>
      <c r="K199" s="88" t="n"/>
      <c r="L199" s="31" t="n"/>
      <c r="M199" s="31" t="n"/>
      <c r="N199" s="31" t="n"/>
      <c r="O199" s="32" t="n"/>
    </row>
    <row r="200">
      <c r="A200" s="30">
        <f>IF(Database!B200="","",ROW()-1)</f>
        <v/>
      </c>
      <c r="B200" s="30">
        <f>IF(Database!B200="","",Database!B200)</f>
        <v/>
      </c>
      <c r="C200" s="87">
        <f>IF(Database!B200="","",Database!A200)</f>
        <v/>
      </c>
      <c r="D200" s="30">
        <f>IF(Database!B200="","",Database!D200)</f>
        <v/>
      </c>
      <c r="E200" s="30">
        <f>IF(Database!B200="","",Database!E200)</f>
        <v/>
      </c>
      <c r="F200" s="30">
        <f>IF(Database!B200="","",Database!F200)</f>
        <v/>
      </c>
      <c r="G200" s="30">
        <f>IF(Database!B200="","",Database!G200)</f>
        <v/>
      </c>
      <c r="H200" s="30">
        <f>IF(Database!B200="","",Database!C200)</f>
        <v/>
      </c>
      <c r="I200" s="30">
        <f>IF(Database!B200="","",Database!H200)</f>
        <v/>
      </c>
      <c r="J200" s="31" t="n"/>
      <c r="K200" s="88" t="n"/>
      <c r="L200" s="31" t="n"/>
      <c r="M200" s="31" t="n"/>
      <c r="N200" s="31" t="n"/>
      <c r="O200" s="32" t="n"/>
    </row>
    <row r="201">
      <c r="A201" s="30">
        <f>IF(Database!B201="","",ROW()-1)</f>
        <v/>
      </c>
      <c r="B201" s="30">
        <f>IF(Database!B201="","",Database!B201)</f>
        <v/>
      </c>
      <c r="C201" s="87">
        <f>IF(Database!B201="","",Database!A201)</f>
        <v/>
      </c>
      <c r="D201" s="30">
        <f>IF(Database!B201="","",Database!D201)</f>
        <v/>
      </c>
      <c r="E201" s="30">
        <f>IF(Database!B201="","",Database!E201)</f>
        <v/>
      </c>
      <c r="F201" s="30">
        <f>IF(Database!B201="","",Database!F201)</f>
        <v/>
      </c>
      <c r="G201" s="30">
        <f>IF(Database!B201="","",Database!G201)</f>
        <v/>
      </c>
      <c r="H201" s="30">
        <f>IF(Database!B201="","",Database!C201)</f>
        <v/>
      </c>
      <c r="I201" s="30">
        <f>IF(Database!B201="","",Database!H201)</f>
        <v/>
      </c>
      <c r="J201" s="31" t="n"/>
      <c r="K201" s="88" t="n"/>
      <c r="L201" s="31" t="n"/>
      <c r="M201" s="31" t="n"/>
      <c r="N201" s="31" t="n"/>
      <c r="O201" s="32" t="n"/>
    </row>
    <row r="202">
      <c r="A202" s="30">
        <f>IF(Database!B202="","",ROW()-1)</f>
        <v/>
      </c>
      <c r="B202" s="30">
        <f>IF(Database!B202="","",Database!B202)</f>
        <v/>
      </c>
      <c r="C202" s="87">
        <f>IF(Database!B202="","",Database!A202)</f>
        <v/>
      </c>
      <c r="D202" s="30">
        <f>IF(Database!B202="","",Database!D202)</f>
        <v/>
      </c>
      <c r="E202" s="30">
        <f>IF(Database!B202="","",Database!E202)</f>
        <v/>
      </c>
      <c r="F202" s="30">
        <f>IF(Database!B202="","",Database!F202)</f>
        <v/>
      </c>
      <c r="G202" s="30">
        <f>IF(Database!B202="","",Database!G202)</f>
        <v/>
      </c>
      <c r="H202" s="30">
        <f>IF(Database!B202="","",Database!C202)</f>
        <v/>
      </c>
      <c r="I202" s="30">
        <f>IF(Database!B202="","",Database!H202)</f>
        <v/>
      </c>
      <c r="J202" s="31" t="n"/>
      <c r="K202" s="88" t="n"/>
      <c r="L202" s="31" t="n"/>
      <c r="M202" s="31" t="n"/>
      <c r="N202" s="31" t="n"/>
      <c r="O202" s="32" t="n"/>
    </row>
    <row r="203">
      <c r="A203" s="30">
        <f>IF(Database!B203="","",ROW()-1)</f>
        <v/>
      </c>
      <c r="B203" s="30">
        <f>IF(Database!B203="","",Database!B203)</f>
        <v/>
      </c>
      <c r="C203" s="87">
        <f>IF(Database!B203="","",Database!A203)</f>
        <v/>
      </c>
      <c r="D203" s="30">
        <f>IF(Database!B203="","",Database!D203)</f>
        <v/>
      </c>
      <c r="E203" s="30">
        <f>IF(Database!B203="","",Database!E203)</f>
        <v/>
      </c>
      <c r="F203" s="30">
        <f>IF(Database!B203="","",Database!F203)</f>
        <v/>
      </c>
      <c r="G203" s="30">
        <f>IF(Database!B203="","",Database!G203)</f>
        <v/>
      </c>
      <c r="H203" s="30">
        <f>IF(Database!B203="","",Database!C203)</f>
        <v/>
      </c>
      <c r="I203" s="30">
        <f>IF(Database!B203="","",Database!H203)</f>
        <v/>
      </c>
      <c r="J203" s="31" t="n"/>
      <c r="K203" s="88" t="n"/>
      <c r="L203" s="31" t="n"/>
      <c r="M203" s="31" t="n"/>
      <c r="N203" s="31" t="n"/>
      <c r="O203" s="32" t="n"/>
    </row>
    <row r="204">
      <c r="A204" s="30">
        <f>IF(Database!B204="","",ROW()-1)</f>
        <v/>
      </c>
      <c r="B204" s="30">
        <f>IF(Database!B204="","",Database!B204)</f>
        <v/>
      </c>
      <c r="C204" s="87">
        <f>IF(Database!B204="","",Database!A204)</f>
        <v/>
      </c>
      <c r="D204" s="30">
        <f>IF(Database!B204="","",Database!D204)</f>
        <v/>
      </c>
      <c r="E204" s="30">
        <f>IF(Database!B204="","",Database!E204)</f>
        <v/>
      </c>
      <c r="F204" s="30">
        <f>IF(Database!B204="","",Database!F204)</f>
        <v/>
      </c>
      <c r="G204" s="30">
        <f>IF(Database!B204="","",Database!G204)</f>
        <v/>
      </c>
      <c r="H204" s="30">
        <f>IF(Database!B204="","",Database!C204)</f>
        <v/>
      </c>
      <c r="I204" s="30">
        <f>IF(Database!B204="","",Database!H204)</f>
        <v/>
      </c>
      <c r="J204" s="31" t="n"/>
      <c r="K204" s="88" t="n"/>
      <c r="L204" s="31" t="n"/>
      <c r="M204" s="31" t="n"/>
      <c r="N204" s="31" t="n"/>
      <c r="O204" s="32" t="n"/>
    </row>
    <row r="205">
      <c r="A205" s="30">
        <f>IF(Database!B205="","",ROW()-1)</f>
        <v/>
      </c>
      <c r="B205" s="30">
        <f>IF(Database!B205="","",Database!B205)</f>
        <v/>
      </c>
      <c r="C205" s="87">
        <f>IF(Database!B205="","",Database!A205)</f>
        <v/>
      </c>
      <c r="D205" s="30">
        <f>IF(Database!B205="","",Database!D205)</f>
        <v/>
      </c>
      <c r="E205" s="30">
        <f>IF(Database!B205="","",Database!E205)</f>
        <v/>
      </c>
      <c r="F205" s="30">
        <f>IF(Database!B205="","",Database!F205)</f>
        <v/>
      </c>
      <c r="G205" s="30">
        <f>IF(Database!B205="","",Database!G205)</f>
        <v/>
      </c>
      <c r="H205" s="30">
        <f>IF(Database!B205="","",Database!C205)</f>
        <v/>
      </c>
      <c r="I205" s="30">
        <f>IF(Database!B205="","",Database!H205)</f>
        <v/>
      </c>
      <c r="J205" s="31" t="n"/>
      <c r="K205" s="88" t="n"/>
      <c r="L205" s="31" t="n"/>
      <c r="M205" s="31" t="n"/>
      <c r="N205" s="31" t="n"/>
      <c r="O205" s="32" t="n"/>
    </row>
    <row r="206">
      <c r="A206" s="30">
        <f>IF(Database!B206="","",ROW()-1)</f>
        <v/>
      </c>
      <c r="B206" s="30">
        <f>IF(Database!B206="","",Database!B206)</f>
        <v/>
      </c>
      <c r="C206" s="87">
        <f>IF(Database!B206="","",Database!A206)</f>
        <v/>
      </c>
      <c r="D206" s="30">
        <f>IF(Database!B206="","",Database!D206)</f>
        <v/>
      </c>
      <c r="E206" s="30">
        <f>IF(Database!B206="","",Database!E206)</f>
        <v/>
      </c>
      <c r="F206" s="30">
        <f>IF(Database!B206="","",Database!F206)</f>
        <v/>
      </c>
      <c r="G206" s="30">
        <f>IF(Database!B206="","",Database!G206)</f>
        <v/>
      </c>
      <c r="H206" s="30">
        <f>IF(Database!B206="","",Database!C206)</f>
        <v/>
      </c>
      <c r="I206" s="30">
        <f>IF(Database!B206="","",Database!H206)</f>
        <v/>
      </c>
      <c r="J206" s="31" t="n"/>
      <c r="K206" s="88" t="n"/>
      <c r="L206" s="31" t="n"/>
      <c r="M206" s="31" t="n"/>
      <c r="N206" s="31" t="n"/>
      <c r="O206" s="32" t="n"/>
    </row>
    <row r="207">
      <c r="A207" s="30">
        <f>IF(Database!B207="","",ROW()-1)</f>
        <v/>
      </c>
      <c r="B207" s="30">
        <f>IF(Database!B207="","",Database!B207)</f>
        <v/>
      </c>
      <c r="C207" s="87">
        <f>IF(Database!B207="","",Database!A207)</f>
        <v/>
      </c>
      <c r="D207" s="30">
        <f>IF(Database!B207="","",Database!D207)</f>
        <v/>
      </c>
      <c r="E207" s="30">
        <f>IF(Database!B207="","",Database!E207)</f>
        <v/>
      </c>
      <c r="F207" s="30">
        <f>IF(Database!B207="","",Database!F207)</f>
        <v/>
      </c>
      <c r="G207" s="30">
        <f>IF(Database!B207="","",Database!G207)</f>
        <v/>
      </c>
      <c r="H207" s="30">
        <f>IF(Database!B207="","",Database!C207)</f>
        <v/>
      </c>
      <c r="I207" s="30">
        <f>IF(Database!B207="","",Database!H207)</f>
        <v/>
      </c>
      <c r="J207" s="31" t="n"/>
      <c r="K207" s="88" t="n"/>
      <c r="L207" s="31" t="n"/>
      <c r="M207" s="31" t="n"/>
      <c r="N207" s="31" t="n"/>
      <c r="O207" s="32" t="n"/>
    </row>
    <row r="208">
      <c r="A208" s="30">
        <f>IF(Database!B208="","",ROW()-1)</f>
        <v/>
      </c>
      <c r="B208" s="30">
        <f>IF(Database!B208="","",Database!B208)</f>
        <v/>
      </c>
      <c r="C208" s="87">
        <f>IF(Database!B208="","",Database!A208)</f>
        <v/>
      </c>
      <c r="D208" s="30">
        <f>IF(Database!B208="","",Database!D208)</f>
        <v/>
      </c>
      <c r="E208" s="30">
        <f>IF(Database!B208="","",Database!E208)</f>
        <v/>
      </c>
      <c r="F208" s="30">
        <f>IF(Database!B208="","",Database!F208)</f>
        <v/>
      </c>
      <c r="G208" s="30">
        <f>IF(Database!B208="","",Database!G208)</f>
        <v/>
      </c>
      <c r="H208" s="30">
        <f>IF(Database!B208="","",Database!C208)</f>
        <v/>
      </c>
      <c r="I208" s="30">
        <f>IF(Database!B208="","",Database!H208)</f>
        <v/>
      </c>
      <c r="J208" s="31" t="n"/>
      <c r="K208" s="88" t="n"/>
      <c r="L208" s="31" t="n"/>
      <c r="M208" s="31" t="n"/>
      <c r="N208" s="31" t="n"/>
      <c r="O208" s="32" t="n"/>
    </row>
    <row r="209">
      <c r="A209" s="30">
        <f>IF(Database!B209="","",ROW()-1)</f>
        <v/>
      </c>
      <c r="B209" s="30">
        <f>IF(Database!B209="","",Database!B209)</f>
        <v/>
      </c>
      <c r="C209" s="87">
        <f>IF(Database!B209="","",Database!A209)</f>
        <v/>
      </c>
      <c r="D209" s="30">
        <f>IF(Database!B209="","",Database!D209)</f>
        <v/>
      </c>
      <c r="E209" s="30">
        <f>IF(Database!B209="","",Database!E209)</f>
        <v/>
      </c>
      <c r="F209" s="30">
        <f>IF(Database!B209="","",Database!F209)</f>
        <v/>
      </c>
      <c r="G209" s="30">
        <f>IF(Database!B209="","",Database!G209)</f>
        <v/>
      </c>
      <c r="H209" s="30">
        <f>IF(Database!B209="","",Database!C209)</f>
        <v/>
      </c>
      <c r="I209" s="30">
        <f>IF(Database!B209="","",Database!H209)</f>
        <v/>
      </c>
      <c r="J209" s="31" t="n"/>
      <c r="K209" s="88" t="n"/>
      <c r="L209" s="31" t="n"/>
      <c r="M209" s="31" t="n"/>
      <c r="N209" s="31" t="n"/>
      <c r="O209" s="32" t="n"/>
    </row>
    <row r="210">
      <c r="A210" s="30">
        <f>IF(Database!B210="","",ROW()-1)</f>
        <v/>
      </c>
      <c r="B210" s="30">
        <f>IF(Database!B210="","",Database!B210)</f>
        <v/>
      </c>
      <c r="C210" s="87">
        <f>IF(Database!B210="","",Database!A210)</f>
        <v/>
      </c>
      <c r="D210" s="30">
        <f>IF(Database!B210="","",Database!D210)</f>
        <v/>
      </c>
      <c r="E210" s="30">
        <f>IF(Database!B210="","",Database!E210)</f>
        <v/>
      </c>
      <c r="F210" s="30">
        <f>IF(Database!B210="","",Database!F210)</f>
        <v/>
      </c>
      <c r="G210" s="30">
        <f>IF(Database!B210="","",Database!G210)</f>
        <v/>
      </c>
      <c r="H210" s="30">
        <f>IF(Database!B210="","",Database!C210)</f>
        <v/>
      </c>
      <c r="I210" s="30">
        <f>IF(Database!B210="","",Database!H210)</f>
        <v/>
      </c>
      <c r="J210" s="31" t="n"/>
      <c r="K210" s="88" t="n"/>
      <c r="L210" s="31" t="n"/>
      <c r="M210" s="31" t="n"/>
      <c r="N210" s="31" t="n"/>
      <c r="O210" s="32" t="n"/>
    </row>
    <row r="211">
      <c r="A211" s="30">
        <f>IF(Database!B211="","",ROW()-1)</f>
        <v/>
      </c>
      <c r="B211" s="30">
        <f>IF(Database!B211="","",Database!B211)</f>
        <v/>
      </c>
      <c r="C211" s="87">
        <f>IF(Database!B211="","",Database!A211)</f>
        <v/>
      </c>
      <c r="D211" s="30">
        <f>IF(Database!B211="","",Database!D211)</f>
        <v/>
      </c>
      <c r="E211" s="30">
        <f>IF(Database!B211="","",Database!E211)</f>
        <v/>
      </c>
      <c r="F211" s="30">
        <f>IF(Database!B211="","",Database!F211)</f>
        <v/>
      </c>
      <c r="G211" s="30">
        <f>IF(Database!B211="","",Database!G211)</f>
        <v/>
      </c>
      <c r="H211" s="30">
        <f>IF(Database!B211="","",Database!C211)</f>
        <v/>
      </c>
      <c r="I211" s="30">
        <f>IF(Database!B211="","",Database!H211)</f>
        <v/>
      </c>
      <c r="J211" s="31" t="n"/>
      <c r="K211" s="88" t="n"/>
      <c r="L211" s="31" t="n"/>
      <c r="M211" s="31" t="n"/>
      <c r="N211" s="31" t="n"/>
      <c r="O211" s="32" t="n"/>
    </row>
    <row r="212">
      <c r="A212" s="30">
        <f>IF(Database!B212="","",ROW()-1)</f>
        <v/>
      </c>
      <c r="B212" s="30">
        <f>IF(Database!B212="","",Database!B212)</f>
        <v/>
      </c>
      <c r="C212" s="87">
        <f>IF(Database!B212="","",Database!A212)</f>
        <v/>
      </c>
      <c r="D212" s="30">
        <f>IF(Database!B212="","",Database!D212)</f>
        <v/>
      </c>
      <c r="E212" s="30">
        <f>IF(Database!B212="","",Database!E212)</f>
        <v/>
      </c>
      <c r="F212" s="30">
        <f>IF(Database!B212="","",Database!F212)</f>
        <v/>
      </c>
      <c r="G212" s="30">
        <f>IF(Database!B212="","",Database!G212)</f>
        <v/>
      </c>
      <c r="H212" s="30">
        <f>IF(Database!B212="","",Database!C212)</f>
        <v/>
      </c>
      <c r="I212" s="30">
        <f>IF(Database!B212="","",Database!H212)</f>
        <v/>
      </c>
      <c r="J212" s="31" t="n"/>
      <c r="K212" s="88" t="n"/>
      <c r="L212" s="31" t="n"/>
      <c r="M212" s="31" t="n"/>
      <c r="N212" s="31" t="n"/>
      <c r="O212" s="32" t="n"/>
    </row>
    <row r="213">
      <c r="A213" s="30">
        <f>IF(Database!B213="","",ROW()-1)</f>
        <v/>
      </c>
      <c r="B213" s="30">
        <f>IF(Database!B213="","",Database!B213)</f>
        <v/>
      </c>
      <c r="C213" s="87">
        <f>IF(Database!B213="","",Database!A213)</f>
        <v/>
      </c>
      <c r="D213" s="30">
        <f>IF(Database!B213="","",Database!D213)</f>
        <v/>
      </c>
      <c r="E213" s="30">
        <f>IF(Database!B213="","",Database!E213)</f>
        <v/>
      </c>
      <c r="F213" s="30">
        <f>IF(Database!B213="","",Database!F213)</f>
        <v/>
      </c>
      <c r="G213" s="30">
        <f>IF(Database!B213="","",Database!G213)</f>
        <v/>
      </c>
      <c r="H213" s="30">
        <f>IF(Database!B213="","",Database!C213)</f>
        <v/>
      </c>
      <c r="I213" s="30">
        <f>IF(Database!B213="","",Database!H213)</f>
        <v/>
      </c>
      <c r="J213" s="31" t="n"/>
      <c r="K213" s="88" t="n"/>
      <c r="L213" s="31" t="n"/>
      <c r="M213" s="31" t="n"/>
      <c r="N213" s="31" t="n"/>
      <c r="O213" s="32" t="n"/>
    </row>
    <row r="214">
      <c r="A214" s="30">
        <f>IF(Database!B214="","",ROW()-1)</f>
        <v/>
      </c>
      <c r="B214" s="30">
        <f>IF(Database!B214="","",Database!B214)</f>
        <v/>
      </c>
      <c r="C214" s="87">
        <f>IF(Database!B214="","",Database!A214)</f>
        <v/>
      </c>
      <c r="D214" s="30">
        <f>IF(Database!B214="","",Database!D214)</f>
        <v/>
      </c>
      <c r="E214" s="30">
        <f>IF(Database!B214="","",Database!E214)</f>
        <v/>
      </c>
      <c r="F214" s="30">
        <f>IF(Database!B214="","",Database!F214)</f>
        <v/>
      </c>
      <c r="G214" s="30">
        <f>IF(Database!B214="","",Database!G214)</f>
        <v/>
      </c>
      <c r="H214" s="30">
        <f>IF(Database!B214="","",Database!C214)</f>
        <v/>
      </c>
      <c r="I214" s="30">
        <f>IF(Database!B214="","",Database!H214)</f>
        <v/>
      </c>
      <c r="J214" s="31" t="n"/>
      <c r="K214" s="88" t="n"/>
      <c r="L214" s="31" t="n"/>
      <c r="M214" s="31" t="n"/>
      <c r="N214" s="31" t="n"/>
      <c r="O214" s="32" t="n"/>
    </row>
    <row r="215">
      <c r="A215" s="30">
        <f>IF(Database!B215="","",ROW()-1)</f>
        <v/>
      </c>
      <c r="B215" s="30">
        <f>IF(Database!B215="","",Database!B215)</f>
        <v/>
      </c>
      <c r="C215" s="87">
        <f>IF(Database!B215="","",Database!A215)</f>
        <v/>
      </c>
      <c r="D215" s="30">
        <f>IF(Database!B215="","",Database!D215)</f>
        <v/>
      </c>
      <c r="E215" s="30">
        <f>IF(Database!B215="","",Database!E215)</f>
        <v/>
      </c>
      <c r="F215" s="30">
        <f>IF(Database!B215="","",Database!F215)</f>
        <v/>
      </c>
      <c r="G215" s="30">
        <f>IF(Database!B215="","",Database!G215)</f>
        <v/>
      </c>
      <c r="H215" s="30">
        <f>IF(Database!B215="","",Database!C215)</f>
        <v/>
      </c>
      <c r="I215" s="30">
        <f>IF(Database!B215="","",Database!H215)</f>
        <v/>
      </c>
      <c r="J215" s="31" t="n"/>
      <c r="K215" s="88" t="n"/>
      <c r="L215" s="31" t="n"/>
      <c r="M215" s="31" t="n"/>
      <c r="N215" s="31" t="n"/>
      <c r="O215" s="32" t="n"/>
    </row>
    <row r="216">
      <c r="A216" s="30">
        <f>IF(Database!B216="","",ROW()-1)</f>
        <v/>
      </c>
      <c r="B216" s="30">
        <f>IF(Database!B216="","",Database!B216)</f>
        <v/>
      </c>
      <c r="C216" s="87">
        <f>IF(Database!B216="","",Database!A216)</f>
        <v/>
      </c>
      <c r="D216" s="30">
        <f>IF(Database!B216="","",Database!D216)</f>
        <v/>
      </c>
      <c r="E216" s="30">
        <f>IF(Database!B216="","",Database!E216)</f>
        <v/>
      </c>
      <c r="F216" s="30">
        <f>IF(Database!B216="","",Database!F216)</f>
        <v/>
      </c>
      <c r="G216" s="30">
        <f>IF(Database!B216="","",Database!G216)</f>
        <v/>
      </c>
      <c r="H216" s="30">
        <f>IF(Database!B216="","",Database!C216)</f>
        <v/>
      </c>
      <c r="I216" s="30">
        <f>IF(Database!B216="","",Database!H216)</f>
        <v/>
      </c>
      <c r="J216" s="31" t="n"/>
      <c r="K216" s="88" t="n"/>
      <c r="L216" s="31" t="n"/>
      <c r="M216" s="31" t="n"/>
      <c r="N216" s="31" t="n"/>
      <c r="O216" s="32" t="n"/>
    </row>
    <row r="217">
      <c r="A217" s="30">
        <f>IF(Database!B217="","",ROW()-1)</f>
        <v/>
      </c>
      <c r="B217" s="30">
        <f>IF(Database!B217="","",Database!B217)</f>
        <v/>
      </c>
      <c r="C217" s="87">
        <f>IF(Database!B217="","",Database!A217)</f>
        <v/>
      </c>
      <c r="D217" s="30">
        <f>IF(Database!B217="","",Database!D217)</f>
        <v/>
      </c>
      <c r="E217" s="30">
        <f>IF(Database!B217="","",Database!E217)</f>
        <v/>
      </c>
      <c r="F217" s="30">
        <f>IF(Database!B217="","",Database!F217)</f>
        <v/>
      </c>
      <c r="G217" s="30">
        <f>IF(Database!B217="","",Database!G217)</f>
        <v/>
      </c>
      <c r="H217" s="30">
        <f>IF(Database!B217="","",Database!C217)</f>
        <v/>
      </c>
      <c r="I217" s="30">
        <f>IF(Database!B217="","",Database!H217)</f>
        <v/>
      </c>
      <c r="J217" s="31" t="n"/>
      <c r="K217" s="88" t="n"/>
      <c r="L217" s="31" t="n"/>
      <c r="M217" s="31" t="n"/>
      <c r="N217" s="31" t="n"/>
      <c r="O217" s="32" t="n"/>
    </row>
    <row r="218">
      <c r="A218" s="30">
        <f>IF(Database!B218="","",ROW()-1)</f>
        <v/>
      </c>
      <c r="B218" s="30">
        <f>IF(Database!B218="","",Database!B218)</f>
        <v/>
      </c>
      <c r="C218" s="87">
        <f>IF(Database!B218="","",Database!A218)</f>
        <v/>
      </c>
      <c r="D218" s="30">
        <f>IF(Database!B218="","",Database!D218)</f>
        <v/>
      </c>
      <c r="E218" s="30">
        <f>IF(Database!B218="","",Database!E218)</f>
        <v/>
      </c>
      <c r="F218" s="30">
        <f>IF(Database!B218="","",Database!F218)</f>
        <v/>
      </c>
      <c r="G218" s="30">
        <f>IF(Database!B218="","",Database!G218)</f>
        <v/>
      </c>
      <c r="H218" s="30">
        <f>IF(Database!B218="","",Database!C218)</f>
        <v/>
      </c>
      <c r="I218" s="30">
        <f>IF(Database!B218="","",Database!H218)</f>
        <v/>
      </c>
      <c r="J218" s="31" t="n"/>
      <c r="K218" s="88" t="n"/>
      <c r="L218" s="31" t="n"/>
      <c r="M218" s="31" t="n"/>
      <c r="N218" s="31" t="n"/>
      <c r="O218" s="32" t="n"/>
    </row>
    <row r="219">
      <c r="A219" s="30">
        <f>IF(Database!B219="","",ROW()-1)</f>
        <v/>
      </c>
      <c r="B219" s="30">
        <f>IF(Database!B219="","",Database!B219)</f>
        <v/>
      </c>
      <c r="C219" s="87">
        <f>IF(Database!B219="","",Database!A219)</f>
        <v/>
      </c>
      <c r="D219" s="30">
        <f>IF(Database!B219="","",Database!D219)</f>
        <v/>
      </c>
      <c r="E219" s="30">
        <f>IF(Database!B219="","",Database!E219)</f>
        <v/>
      </c>
      <c r="F219" s="30">
        <f>IF(Database!B219="","",Database!F219)</f>
        <v/>
      </c>
      <c r="G219" s="30">
        <f>IF(Database!B219="","",Database!G219)</f>
        <v/>
      </c>
      <c r="H219" s="30">
        <f>IF(Database!B219="","",Database!C219)</f>
        <v/>
      </c>
      <c r="I219" s="30">
        <f>IF(Database!B219="","",Database!H219)</f>
        <v/>
      </c>
      <c r="J219" s="31" t="n"/>
      <c r="K219" s="88" t="n"/>
      <c r="L219" s="31" t="n"/>
      <c r="M219" s="31" t="n"/>
      <c r="N219" s="31" t="n"/>
      <c r="O219" s="32" t="n"/>
    </row>
    <row r="220">
      <c r="A220" s="30">
        <f>IF(Database!B220="","",ROW()-1)</f>
        <v/>
      </c>
      <c r="B220" s="30">
        <f>IF(Database!B220="","",Database!B220)</f>
        <v/>
      </c>
      <c r="C220" s="87">
        <f>IF(Database!B220="","",Database!A220)</f>
        <v/>
      </c>
      <c r="D220" s="30">
        <f>IF(Database!B220="","",Database!D220)</f>
        <v/>
      </c>
      <c r="E220" s="30">
        <f>IF(Database!B220="","",Database!E220)</f>
        <v/>
      </c>
      <c r="F220" s="30">
        <f>IF(Database!B220="","",Database!F220)</f>
        <v/>
      </c>
      <c r="G220" s="30">
        <f>IF(Database!B220="","",Database!G220)</f>
        <v/>
      </c>
      <c r="H220" s="30">
        <f>IF(Database!B220="","",Database!C220)</f>
        <v/>
      </c>
      <c r="I220" s="30">
        <f>IF(Database!B220="","",Database!H220)</f>
        <v/>
      </c>
      <c r="J220" s="31" t="n"/>
      <c r="K220" s="88" t="n"/>
      <c r="L220" s="31" t="n"/>
      <c r="M220" s="31" t="n"/>
      <c r="N220" s="31" t="n"/>
      <c r="O220" s="32" t="n"/>
    </row>
    <row r="221">
      <c r="A221" s="30">
        <f>IF(Database!B221="","",ROW()-1)</f>
        <v/>
      </c>
      <c r="B221" s="30">
        <f>IF(Database!B221="","",Database!B221)</f>
        <v/>
      </c>
      <c r="C221" s="87">
        <f>IF(Database!B221="","",Database!A221)</f>
        <v/>
      </c>
      <c r="D221" s="30">
        <f>IF(Database!B221="","",Database!D221)</f>
        <v/>
      </c>
      <c r="E221" s="30">
        <f>IF(Database!B221="","",Database!E221)</f>
        <v/>
      </c>
      <c r="F221" s="30">
        <f>IF(Database!B221="","",Database!F221)</f>
        <v/>
      </c>
      <c r="G221" s="30">
        <f>IF(Database!B221="","",Database!G221)</f>
        <v/>
      </c>
      <c r="H221" s="30">
        <f>IF(Database!B221="","",Database!C221)</f>
        <v/>
      </c>
      <c r="I221" s="30">
        <f>IF(Database!B221="","",Database!H221)</f>
        <v/>
      </c>
      <c r="J221" s="31" t="n"/>
      <c r="K221" s="88" t="n"/>
      <c r="L221" s="31" t="n"/>
      <c r="M221" s="31" t="n"/>
      <c r="N221" s="31" t="n"/>
      <c r="O221" s="32" t="n"/>
    </row>
    <row r="222">
      <c r="A222" s="30">
        <f>IF(Database!B222="","",ROW()-1)</f>
        <v/>
      </c>
      <c r="B222" s="30">
        <f>IF(Database!B222="","",Database!B222)</f>
        <v/>
      </c>
      <c r="C222" s="87">
        <f>IF(Database!B222="","",Database!A222)</f>
        <v/>
      </c>
      <c r="D222" s="30">
        <f>IF(Database!B222="","",Database!D222)</f>
        <v/>
      </c>
      <c r="E222" s="30">
        <f>IF(Database!B222="","",Database!E222)</f>
        <v/>
      </c>
      <c r="F222" s="30">
        <f>IF(Database!B222="","",Database!F222)</f>
        <v/>
      </c>
      <c r="G222" s="30">
        <f>IF(Database!B222="","",Database!G222)</f>
        <v/>
      </c>
      <c r="H222" s="30">
        <f>IF(Database!B222="","",Database!C222)</f>
        <v/>
      </c>
      <c r="I222" s="30">
        <f>IF(Database!B222="","",Database!H222)</f>
        <v/>
      </c>
      <c r="J222" s="31" t="n"/>
      <c r="K222" s="88" t="n"/>
      <c r="L222" s="31" t="n"/>
      <c r="M222" s="31" t="n"/>
      <c r="N222" s="31" t="n"/>
      <c r="O222" s="32" t="n"/>
    </row>
    <row r="223">
      <c r="A223" s="30">
        <f>IF(Database!B223="","",ROW()-1)</f>
        <v/>
      </c>
      <c r="B223" s="30">
        <f>IF(Database!B223="","",Database!B223)</f>
        <v/>
      </c>
      <c r="C223" s="87">
        <f>IF(Database!B223="","",Database!A223)</f>
        <v/>
      </c>
      <c r="D223" s="30">
        <f>IF(Database!B223="","",Database!D223)</f>
        <v/>
      </c>
      <c r="E223" s="30">
        <f>IF(Database!B223="","",Database!E223)</f>
        <v/>
      </c>
      <c r="F223" s="30">
        <f>IF(Database!B223="","",Database!F223)</f>
        <v/>
      </c>
      <c r="G223" s="30">
        <f>IF(Database!B223="","",Database!G223)</f>
        <v/>
      </c>
      <c r="H223" s="30">
        <f>IF(Database!B223="","",Database!C223)</f>
        <v/>
      </c>
      <c r="I223" s="30">
        <f>IF(Database!B223="","",Database!H223)</f>
        <v/>
      </c>
      <c r="J223" s="31" t="n"/>
      <c r="K223" s="88" t="n"/>
      <c r="L223" s="31" t="n"/>
      <c r="M223" s="31" t="n"/>
      <c r="N223" s="31" t="n"/>
      <c r="O223" s="32" t="n"/>
    </row>
    <row r="224">
      <c r="A224" s="30">
        <f>IF(Database!B224="","",ROW()-1)</f>
        <v/>
      </c>
      <c r="B224" s="30">
        <f>IF(Database!B224="","",Database!B224)</f>
        <v/>
      </c>
      <c r="C224" s="87">
        <f>IF(Database!B224="","",Database!A224)</f>
        <v/>
      </c>
      <c r="D224" s="30">
        <f>IF(Database!B224="","",Database!D224)</f>
        <v/>
      </c>
      <c r="E224" s="30">
        <f>IF(Database!B224="","",Database!E224)</f>
        <v/>
      </c>
      <c r="F224" s="30">
        <f>IF(Database!B224="","",Database!F224)</f>
        <v/>
      </c>
      <c r="G224" s="30">
        <f>IF(Database!B224="","",Database!G224)</f>
        <v/>
      </c>
      <c r="H224" s="30">
        <f>IF(Database!B224="","",Database!C224)</f>
        <v/>
      </c>
      <c r="I224" s="30">
        <f>IF(Database!B224="","",Database!H224)</f>
        <v/>
      </c>
      <c r="J224" s="31" t="n"/>
      <c r="K224" s="88" t="n"/>
      <c r="L224" s="31" t="n"/>
      <c r="M224" s="31" t="n"/>
      <c r="N224" s="31" t="n"/>
      <c r="O224" s="32" t="n"/>
    </row>
    <row r="225">
      <c r="A225" s="30">
        <f>IF(Database!B225="","",ROW()-1)</f>
        <v/>
      </c>
      <c r="B225" s="30">
        <f>IF(Database!B225="","",Database!B225)</f>
        <v/>
      </c>
      <c r="C225" s="87">
        <f>IF(Database!B225="","",Database!A225)</f>
        <v/>
      </c>
      <c r="D225" s="30">
        <f>IF(Database!B225="","",Database!D225)</f>
        <v/>
      </c>
      <c r="E225" s="30">
        <f>IF(Database!B225="","",Database!E225)</f>
        <v/>
      </c>
      <c r="F225" s="30">
        <f>IF(Database!B225="","",Database!F225)</f>
        <v/>
      </c>
      <c r="G225" s="30">
        <f>IF(Database!B225="","",Database!G225)</f>
        <v/>
      </c>
      <c r="H225" s="30">
        <f>IF(Database!B225="","",Database!C225)</f>
        <v/>
      </c>
      <c r="I225" s="30">
        <f>IF(Database!B225="","",Database!H225)</f>
        <v/>
      </c>
      <c r="J225" s="31" t="n"/>
      <c r="K225" s="88" t="n"/>
      <c r="L225" s="31" t="n"/>
      <c r="M225" s="31" t="n"/>
      <c r="N225" s="31" t="n"/>
      <c r="O225" s="32" t="n"/>
    </row>
    <row r="226">
      <c r="A226" s="30">
        <f>IF(Database!B226="","",ROW()-1)</f>
        <v/>
      </c>
      <c r="B226" s="30">
        <f>IF(Database!B226="","",Database!B226)</f>
        <v/>
      </c>
      <c r="C226" s="87">
        <f>IF(Database!B226="","",Database!A226)</f>
        <v/>
      </c>
      <c r="D226" s="30">
        <f>IF(Database!B226="","",Database!D226)</f>
        <v/>
      </c>
      <c r="E226" s="30">
        <f>IF(Database!B226="","",Database!E226)</f>
        <v/>
      </c>
      <c r="F226" s="30">
        <f>IF(Database!B226="","",Database!F226)</f>
        <v/>
      </c>
      <c r="G226" s="30">
        <f>IF(Database!B226="","",Database!G226)</f>
        <v/>
      </c>
      <c r="H226" s="30">
        <f>IF(Database!B226="","",Database!C226)</f>
        <v/>
      </c>
      <c r="I226" s="30">
        <f>IF(Database!B226="","",Database!H226)</f>
        <v/>
      </c>
      <c r="J226" s="31" t="n"/>
      <c r="K226" s="88" t="n"/>
      <c r="L226" s="31" t="n"/>
      <c r="M226" s="31" t="n"/>
      <c r="N226" s="31" t="n"/>
      <c r="O226" s="32" t="n"/>
    </row>
    <row r="227">
      <c r="A227" s="30">
        <f>IF(Database!B227="","",ROW()-1)</f>
        <v/>
      </c>
      <c r="B227" s="30">
        <f>IF(Database!B227="","",Database!B227)</f>
        <v/>
      </c>
      <c r="C227" s="87">
        <f>IF(Database!B227="","",Database!A227)</f>
        <v/>
      </c>
      <c r="D227" s="30">
        <f>IF(Database!B227="","",Database!D227)</f>
        <v/>
      </c>
      <c r="E227" s="30">
        <f>IF(Database!B227="","",Database!E227)</f>
        <v/>
      </c>
      <c r="F227" s="30">
        <f>IF(Database!B227="","",Database!F227)</f>
        <v/>
      </c>
      <c r="G227" s="30">
        <f>IF(Database!B227="","",Database!G227)</f>
        <v/>
      </c>
      <c r="H227" s="30">
        <f>IF(Database!B227="","",Database!C227)</f>
        <v/>
      </c>
      <c r="I227" s="30">
        <f>IF(Database!B227="","",Database!H227)</f>
        <v/>
      </c>
      <c r="J227" s="31" t="n"/>
      <c r="K227" s="88" t="n"/>
      <c r="L227" s="31" t="n"/>
      <c r="M227" s="31" t="n"/>
      <c r="N227" s="31" t="n"/>
      <c r="O227" s="32" t="n"/>
    </row>
    <row r="228">
      <c r="A228" s="30">
        <f>IF(Database!B228="","",ROW()-1)</f>
        <v/>
      </c>
      <c r="B228" s="30">
        <f>IF(Database!B228="","",Database!B228)</f>
        <v/>
      </c>
      <c r="C228" s="87">
        <f>IF(Database!B228="","",Database!A228)</f>
        <v/>
      </c>
      <c r="D228" s="30">
        <f>IF(Database!B228="","",Database!D228)</f>
        <v/>
      </c>
      <c r="E228" s="30">
        <f>IF(Database!B228="","",Database!E228)</f>
        <v/>
      </c>
      <c r="F228" s="30">
        <f>IF(Database!B228="","",Database!F228)</f>
        <v/>
      </c>
      <c r="G228" s="30">
        <f>IF(Database!B228="","",Database!G228)</f>
        <v/>
      </c>
      <c r="H228" s="30">
        <f>IF(Database!B228="","",Database!C228)</f>
        <v/>
      </c>
      <c r="I228" s="30">
        <f>IF(Database!B228="","",Database!H228)</f>
        <v/>
      </c>
      <c r="J228" s="31" t="n"/>
      <c r="K228" s="88" t="n"/>
      <c r="L228" s="31" t="n"/>
      <c r="M228" s="31" t="n"/>
      <c r="N228" s="31" t="n"/>
      <c r="O228" s="32" t="n"/>
    </row>
    <row r="229">
      <c r="A229" s="30">
        <f>IF(Database!B229="","",ROW()-1)</f>
        <v/>
      </c>
      <c r="B229" s="30">
        <f>IF(Database!B229="","",Database!B229)</f>
        <v/>
      </c>
      <c r="C229" s="87">
        <f>IF(Database!B229="","",Database!A229)</f>
        <v/>
      </c>
      <c r="D229" s="30">
        <f>IF(Database!B229="","",Database!D229)</f>
        <v/>
      </c>
      <c r="E229" s="30">
        <f>IF(Database!B229="","",Database!E229)</f>
        <v/>
      </c>
      <c r="F229" s="30">
        <f>IF(Database!B229="","",Database!F229)</f>
        <v/>
      </c>
      <c r="G229" s="30">
        <f>IF(Database!B229="","",Database!G229)</f>
        <v/>
      </c>
      <c r="H229" s="30">
        <f>IF(Database!B229="","",Database!C229)</f>
        <v/>
      </c>
      <c r="I229" s="30">
        <f>IF(Database!B229="","",Database!H229)</f>
        <v/>
      </c>
      <c r="J229" s="31" t="n"/>
      <c r="K229" s="88" t="n"/>
      <c r="L229" s="31" t="n"/>
      <c r="M229" s="31" t="n"/>
      <c r="N229" s="31" t="n"/>
      <c r="O229" s="32" t="n"/>
    </row>
    <row r="230">
      <c r="A230" s="30">
        <f>IF(Database!B230="","",ROW()-1)</f>
        <v/>
      </c>
      <c r="B230" s="30">
        <f>IF(Database!B230="","",Database!B230)</f>
        <v/>
      </c>
      <c r="C230" s="87">
        <f>IF(Database!B230="","",Database!A230)</f>
        <v/>
      </c>
      <c r="D230" s="30">
        <f>IF(Database!B230="","",Database!D230)</f>
        <v/>
      </c>
      <c r="E230" s="30">
        <f>IF(Database!B230="","",Database!E230)</f>
        <v/>
      </c>
      <c r="F230" s="30">
        <f>IF(Database!B230="","",Database!F230)</f>
        <v/>
      </c>
      <c r="G230" s="30">
        <f>IF(Database!B230="","",Database!G230)</f>
        <v/>
      </c>
      <c r="H230" s="30">
        <f>IF(Database!B230="","",Database!C230)</f>
        <v/>
      </c>
      <c r="I230" s="30">
        <f>IF(Database!B230="","",Database!H230)</f>
        <v/>
      </c>
      <c r="J230" s="31" t="n"/>
      <c r="K230" s="88" t="n"/>
      <c r="L230" s="31" t="n"/>
      <c r="M230" s="31" t="n"/>
      <c r="N230" s="31" t="n"/>
      <c r="O230" s="32" t="n"/>
    </row>
    <row r="231">
      <c r="A231" s="30">
        <f>IF(Database!B231="","",ROW()-1)</f>
        <v/>
      </c>
      <c r="B231" s="30">
        <f>IF(Database!B231="","",Database!B231)</f>
        <v/>
      </c>
      <c r="C231" s="87">
        <f>IF(Database!B231="","",Database!A231)</f>
        <v/>
      </c>
      <c r="D231" s="30">
        <f>IF(Database!B231="","",Database!D231)</f>
        <v/>
      </c>
      <c r="E231" s="30">
        <f>IF(Database!B231="","",Database!E231)</f>
        <v/>
      </c>
      <c r="F231" s="30">
        <f>IF(Database!B231="","",Database!F231)</f>
        <v/>
      </c>
      <c r="G231" s="30">
        <f>IF(Database!B231="","",Database!G231)</f>
        <v/>
      </c>
      <c r="H231" s="30">
        <f>IF(Database!B231="","",Database!C231)</f>
        <v/>
      </c>
      <c r="I231" s="30">
        <f>IF(Database!B231="","",Database!H231)</f>
        <v/>
      </c>
      <c r="J231" s="31" t="n"/>
      <c r="K231" s="88" t="n"/>
      <c r="L231" s="31" t="n"/>
      <c r="M231" s="31" t="n"/>
      <c r="N231" s="31" t="n"/>
      <c r="O231" s="32" t="n"/>
    </row>
    <row r="232">
      <c r="A232" s="30">
        <f>IF(Database!B232="","",ROW()-1)</f>
        <v/>
      </c>
      <c r="B232" s="30">
        <f>IF(Database!B232="","",Database!B232)</f>
        <v/>
      </c>
      <c r="C232" s="87">
        <f>IF(Database!B232="","",Database!A232)</f>
        <v/>
      </c>
      <c r="D232" s="30">
        <f>IF(Database!B232="","",Database!D232)</f>
        <v/>
      </c>
      <c r="E232" s="30">
        <f>IF(Database!B232="","",Database!E232)</f>
        <v/>
      </c>
      <c r="F232" s="30">
        <f>IF(Database!B232="","",Database!F232)</f>
        <v/>
      </c>
      <c r="G232" s="30">
        <f>IF(Database!B232="","",Database!G232)</f>
        <v/>
      </c>
      <c r="H232" s="30">
        <f>IF(Database!B232="","",Database!C232)</f>
        <v/>
      </c>
      <c r="I232" s="30">
        <f>IF(Database!B232="","",Database!H232)</f>
        <v/>
      </c>
      <c r="J232" s="31" t="n"/>
      <c r="K232" s="88" t="n"/>
      <c r="L232" s="31" t="n"/>
      <c r="M232" s="31" t="n"/>
      <c r="N232" s="31" t="n"/>
      <c r="O232" s="32" t="n"/>
    </row>
    <row r="233">
      <c r="A233" s="30">
        <f>IF(Database!B233="","",ROW()-1)</f>
        <v/>
      </c>
      <c r="B233" s="30">
        <f>IF(Database!B233="","",Database!B233)</f>
        <v/>
      </c>
      <c r="C233" s="87">
        <f>IF(Database!B233="","",Database!A233)</f>
        <v/>
      </c>
      <c r="D233" s="30">
        <f>IF(Database!B233="","",Database!D233)</f>
        <v/>
      </c>
      <c r="E233" s="30">
        <f>IF(Database!B233="","",Database!E233)</f>
        <v/>
      </c>
      <c r="F233" s="30">
        <f>IF(Database!B233="","",Database!F233)</f>
        <v/>
      </c>
      <c r="G233" s="30">
        <f>IF(Database!B233="","",Database!G233)</f>
        <v/>
      </c>
      <c r="H233" s="30">
        <f>IF(Database!B233="","",Database!C233)</f>
        <v/>
      </c>
      <c r="I233" s="30">
        <f>IF(Database!B233="","",Database!H233)</f>
        <v/>
      </c>
      <c r="J233" s="31" t="n"/>
      <c r="K233" s="88" t="n"/>
      <c r="L233" s="31" t="n"/>
      <c r="M233" s="31" t="n"/>
      <c r="N233" s="31" t="n"/>
      <c r="O233" s="32" t="n"/>
    </row>
    <row r="234">
      <c r="A234" s="30">
        <f>IF(Database!B234="","",ROW()-1)</f>
        <v/>
      </c>
      <c r="B234" s="30">
        <f>IF(Database!B234="","",Database!B234)</f>
        <v/>
      </c>
      <c r="C234" s="87">
        <f>IF(Database!B234="","",Database!A234)</f>
        <v/>
      </c>
      <c r="D234" s="30">
        <f>IF(Database!B234="","",Database!D234)</f>
        <v/>
      </c>
      <c r="E234" s="30">
        <f>IF(Database!B234="","",Database!E234)</f>
        <v/>
      </c>
      <c r="F234" s="30">
        <f>IF(Database!B234="","",Database!F234)</f>
        <v/>
      </c>
      <c r="G234" s="30">
        <f>IF(Database!B234="","",Database!G234)</f>
        <v/>
      </c>
      <c r="H234" s="30">
        <f>IF(Database!B234="","",Database!C234)</f>
        <v/>
      </c>
      <c r="I234" s="30">
        <f>IF(Database!B234="","",Database!H234)</f>
        <v/>
      </c>
      <c r="J234" s="31" t="n"/>
      <c r="K234" s="88" t="n"/>
      <c r="L234" s="31" t="n"/>
      <c r="M234" s="31" t="n"/>
      <c r="N234" s="31" t="n"/>
      <c r="O234" s="32" t="n"/>
    </row>
    <row r="235">
      <c r="A235" s="30">
        <f>IF(Database!B235="","",ROW()-1)</f>
        <v/>
      </c>
      <c r="B235" s="30">
        <f>IF(Database!B235="","",Database!B235)</f>
        <v/>
      </c>
      <c r="C235" s="87">
        <f>IF(Database!B235="","",Database!A235)</f>
        <v/>
      </c>
      <c r="D235" s="30">
        <f>IF(Database!B235="","",Database!D235)</f>
        <v/>
      </c>
      <c r="E235" s="30">
        <f>IF(Database!B235="","",Database!E235)</f>
        <v/>
      </c>
      <c r="F235" s="30">
        <f>IF(Database!B235="","",Database!F235)</f>
        <v/>
      </c>
      <c r="G235" s="30">
        <f>IF(Database!B235="","",Database!G235)</f>
        <v/>
      </c>
      <c r="H235" s="30">
        <f>IF(Database!B235="","",Database!C235)</f>
        <v/>
      </c>
      <c r="I235" s="30">
        <f>IF(Database!B235="","",Database!H235)</f>
        <v/>
      </c>
      <c r="J235" s="31" t="n"/>
      <c r="K235" s="88" t="n"/>
      <c r="L235" s="31" t="n"/>
      <c r="M235" s="31" t="n"/>
      <c r="N235" s="31" t="n"/>
      <c r="O235" s="32" t="n"/>
    </row>
    <row r="236">
      <c r="A236" s="30">
        <f>IF(Database!B236="","",ROW()-1)</f>
        <v/>
      </c>
      <c r="B236" s="30">
        <f>IF(Database!B236="","",Database!B236)</f>
        <v/>
      </c>
      <c r="C236" s="87">
        <f>IF(Database!B236="","",Database!A236)</f>
        <v/>
      </c>
      <c r="D236" s="30">
        <f>IF(Database!B236="","",Database!D236)</f>
        <v/>
      </c>
      <c r="E236" s="30">
        <f>IF(Database!B236="","",Database!E236)</f>
        <v/>
      </c>
      <c r="F236" s="30">
        <f>IF(Database!B236="","",Database!F236)</f>
        <v/>
      </c>
      <c r="G236" s="30">
        <f>IF(Database!B236="","",Database!G236)</f>
        <v/>
      </c>
      <c r="H236" s="30">
        <f>IF(Database!B236="","",Database!C236)</f>
        <v/>
      </c>
      <c r="I236" s="30">
        <f>IF(Database!B236="","",Database!H236)</f>
        <v/>
      </c>
      <c r="J236" s="31" t="n"/>
      <c r="K236" s="88" t="n"/>
      <c r="L236" s="31" t="n"/>
      <c r="M236" s="31" t="n"/>
      <c r="N236" s="31" t="n"/>
      <c r="O236" s="32" t="n"/>
    </row>
    <row r="237">
      <c r="A237" s="30">
        <f>IF(Database!B237="","",ROW()-1)</f>
        <v/>
      </c>
      <c r="B237" s="30">
        <f>IF(Database!B237="","",Database!B237)</f>
        <v/>
      </c>
      <c r="C237" s="87">
        <f>IF(Database!B237="","",Database!A237)</f>
        <v/>
      </c>
      <c r="D237" s="30">
        <f>IF(Database!B237="","",Database!D237)</f>
        <v/>
      </c>
      <c r="E237" s="30">
        <f>IF(Database!B237="","",Database!E237)</f>
        <v/>
      </c>
      <c r="F237" s="30">
        <f>IF(Database!B237="","",Database!F237)</f>
        <v/>
      </c>
      <c r="G237" s="30">
        <f>IF(Database!B237="","",Database!G237)</f>
        <v/>
      </c>
      <c r="H237" s="30">
        <f>IF(Database!B237="","",Database!C237)</f>
        <v/>
      </c>
      <c r="I237" s="30">
        <f>IF(Database!B237="","",Database!H237)</f>
        <v/>
      </c>
      <c r="J237" s="31" t="n"/>
      <c r="K237" s="88" t="n"/>
      <c r="L237" s="31" t="n"/>
      <c r="M237" s="31" t="n"/>
      <c r="N237" s="31" t="n"/>
      <c r="O237" s="32" t="n"/>
    </row>
    <row r="238">
      <c r="A238" s="30">
        <f>IF(Database!B238="","",ROW()-1)</f>
        <v/>
      </c>
      <c r="B238" s="30">
        <f>IF(Database!B238="","",Database!B238)</f>
        <v/>
      </c>
      <c r="C238" s="87">
        <f>IF(Database!B238="","",Database!A238)</f>
        <v/>
      </c>
      <c r="D238" s="30">
        <f>IF(Database!B238="","",Database!D238)</f>
        <v/>
      </c>
      <c r="E238" s="30">
        <f>IF(Database!B238="","",Database!E238)</f>
        <v/>
      </c>
      <c r="F238" s="30">
        <f>IF(Database!B238="","",Database!F238)</f>
        <v/>
      </c>
      <c r="G238" s="30">
        <f>IF(Database!B238="","",Database!G238)</f>
        <v/>
      </c>
      <c r="H238" s="30">
        <f>IF(Database!B238="","",Database!C238)</f>
        <v/>
      </c>
      <c r="I238" s="30">
        <f>IF(Database!B238="","",Database!H238)</f>
        <v/>
      </c>
      <c r="J238" s="31" t="n"/>
      <c r="K238" s="88" t="n"/>
      <c r="L238" s="31" t="n"/>
      <c r="M238" s="31" t="n"/>
      <c r="N238" s="31" t="n"/>
      <c r="O238" s="32" t="n"/>
    </row>
    <row r="239">
      <c r="A239" s="30">
        <f>IF(Database!B239="","",ROW()-1)</f>
        <v/>
      </c>
      <c r="B239" s="30">
        <f>IF(Database!B239="","",Database!B239)</f>
        <v/>
      </c>
      <c r="C239" s="87">
        <f>IF(Database!B239="","",Database!A239)</f>
        <v/>
      </c>
      <c r="D239" s="30">
        <f>IF(Database!B239="","",Database!D239)</f>
        <v/>
      </c>
      <c r="E239" s="30">
        <f>IF(Database!B239="","",Database!E239)</f>
        <v/>
      </c>
      <c r="F239" s="30">
        <f>IF(Database!B239="","",Database!F239)</f>
        <v/>
      </c>
      <c r="G239" s="30">
        <f>IF(Database!B239="","",Database!G239)</f>
        <v/>
      </c>
      <c r="H239" s="30">
        <f>IF(Database!B239="","",Database!C239)</f>
        <v/>
      </c>
      <c r="I239" s="30">
        <f>IF(Database!B239="","",Database!H239)</f>
        <v/>
      </c>
      <c r="J239" s="31" t="n"/>
      <c r="K239" s="88" t="n"/>
      <c r="L239" s="31" t="n"/>
      <c r="M239" s="31" t="n"/>
      <c r="N239" s="31" t="n"/>
      <c r="O239" s="32" t="n"/>
    </row>
    <row r="240">
      <c r="A240" s="30">
        <f>IF(Database!B240="","",ROW()-1)</f>
        <v/>
      </c>
      <c r="B240" s="30">
        <f>IF(Database!B240="","",Database!B240)</f>
        <v/>
      </c>
      <c r="C240" s="87">
        <f>IF(Database!B240="","",Database!A240)</f>
        <v/>
      </c>
      <c r="D240" s="30">
        <f>IF(Database!B240="","",Database!D240)</f>
        <v/>
      </c>
      <c r="E240" s="30">
        <f>IF(Database!B240="","",Database!E240)</f>
        <v/>
      </c>
      <c r="F240" s="30">
        <f>IF(Database!B240="","",Database!F240)</f>
        <v/>
      </c>
      <c r="G240" s="30">
        <f>IF(Database!B240="","",Database!G240)</f>
        <v/>
      </c>
      <c r="H240" s="30">
        <f>IF(Database!B240="","",Database!C240)</f>
        <v/>
      </c>
      <c r="I240" s="30">
        <f>IF(Database!B240="","",Database!H240)</f>
        <v/>
      </c>
      <c r="J240" s="31" t="n"/>
      <c r="K240" s="88" t="n"/>
      <c r="L240" s="31" t="n"/>
      <c r="M240" s="31" t="n"/>
      <c r="N240" s="31" t="n"/>
      <c r="O240" s="32" t="n"/>
    </row>
    <row r="241">
      <c r="A241" s="30">
        <f>IF(Database!B241="","",ROW()-1)</f>
        <v/>
      </c>
      <c r="B241" s="30">
        <f>IF(Database!B241="","",Database!B241)</f>
        <v/>
      </c>
      <c r="C241" s="87">
        <f>IF(Database!B241="","",Database!A241)</f>
        <v/>
      </c>
      <c r="D241" s="30">
        <f>IF(Database!B241="","",Database!D241)</f>
        <v/>
      </c>
      <c r="E241" s="30">
        <f>IF(Database!B241="","",Database!E241)</f>
        <v/>
      </c>
      <c r="F241" s="30">
        <f>IF(Database!B241="","",Database!F241)</f>
        <v/>
      </c>
      <c r="G241" s="30">
        <f>IF(Database!B241="","",Database!G241)</f>
        <v/>
      </c>
      <c r="H241" s="30">
        <f>IF(Database!B241="","",Database!C241)</f>
        <v/>
      </c>
      <c r="I241" s="30">
        <f>IF(Database!B241="","",Database!H241)</f>
        <v/>
      </c>
      <c r="J241" s="31" t="n"/>
      <c r="K241" s="88" t="n"/>
      <c r="L241" s="31" t="n"/>
      <c r="M241" s="31" t="n"/>
      <c r="N241" s="31" t="n"/>
      <c r="O241" s="32" t="n"/>
    </row>
    <row r="242">
      <c r="A242" s="30">
        <f>IF(Database!B242="","",ROW()-1)</f>
        <v/>
      </c>
      <c r="B242" s="30">
        <f>IF(Database!B242="","",Database!B242)</f>
        <v/>
      </c>
      <c r="C242" s="87">
        <f>IF(Database!B242="","",Database!A242)</f>
        <v/>
      </c>
      <c r="D242" s="30">
        <f>IF(Database!B242="","",Database!D242)</f>
        <v/>
      </c>
      <c r="E242" s="30">
        <f>IF(Database!B242="","",Database!E242)</f>
        <v/>
      </c>
      <c r="F242" s="30">
        <f>IF(Database!B242="","",Database!F242)</f>
        <v/>
      </c>
      <c r="G242" s="30">
        <f>IF(Database!B242="","",Database!G242)</f>
        <v/>
      </c>
      <c r="H242" s="30">
        <f>IF(Database!B242="","",Database!C242)</f>
        <v/>
      </c>
      <c r="I242" s="30">
        <f>IF(Database!B242="","",Database!H242)</f>
        <v/>
      </c>
      <c r="J242" s="31" t="n"/>
      <c r="K242" s="88" t="n"/>
      <c r="L242" s="31" t="n"/>
      <c r="M242" s="31" t="n"/>
      <c r="N242" s="31" t="n"/>
      <c r="O242" s="32" t="n"/>
    </row>
    <row r="243">
      <c r="A243" s="30">
        <f>IF(Database!B243="","",ROW()-1)</f>
        <v/>
      </c>
      <c r="B243" s="30">
        <f>IF(Database!B243="","",Database!B243)</f>
        <v/>
      </c>
      <c r="C243" s="87">
        <f>IF(Database!B243="","",Database!A243)</f>
        <v/>
      </c>
      <c r="D243" s="30">
        <f>IF(Database!B243="","",Database!D243)</f>
        <v/>
      </c>
      <c r="E243" s="30">
        <f>IF(Database!B243="","",Database!E243)</f>
        <v/>
      </c>
      <c r="F243" s="30">
        <f>IF(Database!B243="","",Database!F243)</f>
        <v/>
      </c>
      <c r="G243" s="30">
        <f>IF(Database!B243="","",Database!G243)</f>
        <v/>
      </c>
      <c r="H243" s="30">
        <f>IF(Database!B243="","",Database!C243)</f>
        <v/>
      </c>
      <c r="I243" s="30">
        <f>IF(Database!B243="","",Database!H243)</f>
        <v/>
      </c>
      <c r="J243" s="31" t="n"/>
      <c r="K243" s="88" t="n"/>
      <c r="L243" s="31" t="n"/>
      <c r="M243" s="31" t="n"/>
      <c r="N243" s="31" t="n"/>
      <c r="O243" s="32" t="n"/>
    </row>
    <row r="244">
      <c r="A244" s="30">
        <f>IF(Database!B244="","",ROW()-1)</f>
        <v/>
      </c>
      <c r="B244" s="30">
        <f>IF(Database!B244="","",Database!B244)</f>
        <v/>
      </c>
      <c r="C244" s="87">
        <f>IF(Database!B244="","",Database!A244)</f>
        <v/>
      </c>
      <c r="D244" s="30">
        <f>IF(Database!B244="","",Database!D244)</f>
        <v/>
      </c>
      <c r="E244" s="30">
        <f>IF(Database!B244="","",Database!E244)</f>
        <v/>
      </c>
      <c r="F244" s="30">
        <f>IF(Database!B244="","",Database!F244)</f>
        <v/>
      </c>
      <c r="G244" s="30">
        <f>IF(Database!B244="","",Database!G244)</f>
        <v/>
      </c>
      <c r="H244" s="30">
        <f>IF(Database!B244="","",Database!C244)</f>
        <v/>
      </c>
      <c r="I244" s="30">
        <f>IF(Database!B244="","",Database!H244)</f>
        <v/>
      </c>
      <c r="J244" s="31" t="n"/>
      <c r="K244" s="88" t="n"/>
      <c r="L244" s="31" t="n"/>
      <c r="M244" s="31" t="n"/>
      <c r="N244" s="31" t="n"/>
      <c r="O244" s="32" t="n"/>
    </row>
    <row r="245">
      <c r="A245" s="30">
        <f>IF(Database!B245="","",ROW()-1)</f>
        <v/>
      </c>
      <c r="B245" s="30">
        <f>IF(Database!B245="","",Database!B245)</f>
        <v/>
      </c>
      <c r="C245" s="87">
        <f>IF(Database!B245="","",Database!A245)</f>
        <v/>
      </c>
      <c r="D245" s="30">
        <f>IF(Database!B245="","",Database!D245)</f>
        <v/>
      </c>
      <c r="E245" s="30">
        <f>IF(Database!B245="","",Database!E245)</f>
        <v/>
      </c>
      <c r="F245" s="30">
        <f>IF(Database!B245="","",Database!F245)</f>
        <v/>
      </c>
      <c r="G245" s="30">
        <f>IF(Database!B245="","",Database!G245)</f>
        <v/>
      </c>
      <c r="H245" s="30">
        <f>IF(Database!B245="","",Database!C245)</f>
        <v/>
      </c>
      <c r="I245" s="30">
        <f>IF(Database!B245="","",Database!H245)</f>
        <v/>
      </c>
      <c r="J245" s="31" t="n"/>
      <c r="K245" s="88" t="n"/>
      <c r="L245" s="31" t="n"/>
      <c r="M245" s="31" t="n"/>
      <c r="N245" s="31" t="n"/>
      <c r="O245" s="32" t="n"/>
    </row>
    <row r="246">
      <c r="A246" s="30">
        <f>IF(Database!B246="","",ROW()-1)</f>
        <v/>
      </c>
      <c r="B246" s="30">
        <f>IF(Database!B246="","",Database!B246)</f>
        <v/>
      </c>
      <c r="C246" s="87">
        <f>IF(Database!B246="","",Database!A246)</f>
        <v/>
      </c>
      <c r="D246" s="30">
        <f>IF(Database!B246="","",Database!D246)</f>
        <v/>
      </c>
      <c r="E246" s="30">
        <f>IF(Database!B246="","",Database!E246)</f>
        <v/>
      </c>
      <c r="F246" s="30">
        <f>IF(Database!B246="","",Database!F246)</f>
        <v/>
      </c>
      <c r="G246" s="30">
        <f>IF(Database!B246="","",Database!G246)</f>
        <v/>
      </c>
      <c r="H246" s="30">
        <f>IF(Database!B246="","",Database!C246)</f>
        <v/>
      </c>
      <c r="I246" s="30">
        <f>IF(Database!B246="","",Database!H246)</f>
        <v/>
      </c>
      <c r="J246" s="31" t="n"/>
      <c r="K246" s="88" t="n"/>
      <c r="L246" s="31" t="n"/>
      <c r="M246" s="31" t="n"/>
      <c r="N246" s="31" t="n"/>
      <c r="O246" s="32" t="n"/>
    </row>
    <row r="247">
      <c r="A247" s="30">
        <f>IF(Database!B247="","",ROW()-1)</f>
        <v/>
      </c>
      <c r="B247" s="30">
        <f>IF(Database!B247="","",Database!B247)</f>
        <v/>
      </c>
      <c r="C247" s="87">
        <f>IF(Database!B247="","",Database!A247)</f>
        <v/>
      </c>
      <c r="D247" s="30">
        <f>IF(Database!B247="","",Database!D247)</f>
        <v/>
      </c>
      <c r="E247" s="30">
        <f>IF(Database!B247="","",Database!E247)</f>
        <v/>
      </c>
      <c r="F247" s="30">
        <f>IF(Database!B247="","",Database!F247)</f>
        <v/>
      </c>
      <c r="G247" s="30">
        <f>IF(Database!B247="","",Database!G247)</f>
        <v/>
      </c>
      <c r="H247" s="30">
        <f>IF(Database!B247="","",Database!C247)</f>
        <v/>
      </c>
      <c r="I247" s="30">
        <f>IF(Database!B247="","",Database!H247)</f>
        <v/>
      </c>
      <c r="J247" s="31" t="n"/>
      <c r="K247" s="88" t="n"/>
      <c r="L247" s="31" t="n"/>
      <c r="M247" s="31" t="n"/>
      <c r="N247" s="31" t="n"/>
      <c r="O247" s="32" t="n"/>
    </row>
    <row r="248">
      <c r="A248" s="30">
        <f>IF(Database!B248="","",ROW()-1)</f>
        <v/>
      </c>
      <c r="B248" s="30">
        <f>IF(Database!B248="","",Database!B248)</f>
        <v/>
      </c>
      <c r="C248" s="87">
        <f>IF(Database!B248="","",Database!A248)</f>
        <v/>
      </c>
      <c r="D248" s="30">
        <f>IF(Database!B248="","",Database!D248)</f>
        <v/>
      </c>
      <c r="E248" s="30">
        <f>IF(Database!B248="","",Database!E248)</f>
        <v/>
      </c>
      <c r="F248" s="30">
        <f>IF(Database!B248="","",Database!F248)</f>
        <v/>
      </c>
      <c r="G248" s="30">
        <f>IF(Database!B248="","",Database!G248)</f>
        <v/>
      </c>
      <c r="H248" s="30">
        <f>IF(Database!B248="","",Database!C248)</f>
        <v/>
      </c>
      <c r="I248" s="30">
        <f>IF(Database!B248="","",Database!H248)</f>
        <v/>
      </c>
      <c r="J248" s="31" t="n"/>
      <c r="K248" s="88" t="n"/>
      <c r="L248" s="31" t="n"/>
      <c r="M248" s="31" t="n"/>
      <c r="N248" s="31" t="n"/>
      <c r="O248" s="32" t="n"/>
    </row>
    <row r="249">
      <c r="A249" s="30">
        <f>IF(Database!B249="","",ROW()-1)</f>
        <v/>
      </c>
      <c r="B249" s="30">
        <f>IF(Database!B249="","",Database!B249)</f>
        <v/>
      </c>
      <c r="C249" s="87">
        <f>IF(Database!B249="","",Database!A249)</f>
        <v/>
      </c>
      <c r="D249" s="30">
        <f>IF(Database!B249="","",Database!D249)</f>
        <v/>
      </c>
      <c r="E249" s="30">
        <f>IF(Database!B249="","",Database!E249)</f>
        <v/>
      </c>
      <c r="F249" s="30">
        <f>IF(Database!B249="","",Database!F249)</f>
        <v/>
      </c>
      <c r="G249" s="30">
        <f>IF(Database!B249="","",Database!G249)</f>
        <v/>
      </c>
      <c r="H249" s="30">
        <f>IF(Database!B249="","",Database!C249)</f>
        <v/>
      </c>
      <c r="I249" s="30">
        <f>IF(Database!B249="","",Database!H249)</f>
        <v/>
      </c>
      <c r="J249" s="31" t="n"/>
      <c r="K249" s="88" t="n"/>
      <c r="L249" s="31" t="n"/>
      <c r="M249" s="31" t="n"/>
      <c r="N249" s="31" t="n"/>
      <c r="O249" s="32" t="n"/>
    </row>
    <row r="250">
      <c r="A250" s="30">
        <f>IF(Database!B250="","",ROW()-1)</f>
        <v/>
      </c>
      <c r="B250" s="30">
        <f>IF(Database!B250="","",Database!B250)</f>
        <v/>
      </c>
      <c r="C250" s="87">
        <f>IF(Database!B250="","",Database!A250)</f>
        <v/>
      </c>
      <c r="D250" s="30">
        <f>IF(Database!B250="","",Database!D250)</f>
        <v/>
      </c>
      <c r="E250" s="30">
        <f>IF(Database!B250="","",Database!E250)</f>
        <v/>
      </c>
      <c r="F250" s="30">
        <f>IF(Database!B250="","",Database!F250)</f>
        <v/>
      </c>
      <c r="G250" s="30">
        <f>IF(Database!B250="","",Database!G250)</f>
        <v/>
      </c>
      <c r="H250" s="30">
        <f>IF(Database!B250="","",Database!C250)</f>
        <v/>
      </c>
      <c r="I250" s="30">
        <f>IF(Database!B250="","",Database!H250)</f>
        <v/>
      </c>
      <c r="J250" s="31" t="n"/>
      <c r="K250" s="88" t="n"/>
      <c r="L250" s="31" t="n"/>
      <c r="M250" s="31" t="n"/>
      <c r="N250" s="31" t="n"/>
      <c r="O250" s="32" t="n"/>
    </row>
    <row r="251">
      <c r="A251" s="30">
        <f>IF(Database!B251="","",ROW()-1)</f>
        <v/>
      </c>
      <c r="B251" s="30">
        <f>IF(Database!B251="","",Database!B251)</f>
        <v/>
      </c>
      <c r="C251" s="87">
        <f>IF(Database!B251="","",Database!A251)</f>
        <v/>
      </c>
      <c r="D251" s="30">
        <f>IF(Database!B251="","",Database!D251)</f>
        <v/>
      </c>
      <c r="E251" s="30">
        <f>IF(Database!B251="","",Database!E251)</f>
        <v/>
      </c>
      <c r="F251" s="30">
        <f>IF(Database!B251="","",Database!F251)</f>
        <v/>
      </c>
      <c r="G251" s="30">
        <f>IF(Database!B251="","",Database!G251)</f>
        <v/>
      </c>
      <c r="H251" s="30">
        <f>IF(Database!B251="","",Database!C251)</f>
        <v/>
      </c>
      <c r="I251" s="30">
        <f>IF(Database!B251="","",Database!H251)</f>
        <v/>
      </c>
      <c r="J251" s="31" t="n"/>
      <c r="K251" s="88" t="n"/>
      <c r="L251" s="31" t="n"/>
      <c r="M251" s="31" t="n"/>
      <c r="N251" s="31" t="n"/>
      <c r="O251" s="32" t="n"/>
    </row>
    <row r="252">
      <c r="A252" s="30">
        <f>IF(Database!B252="","",ROW()-1)</f>
        <v/>
      </c>
      <c r="B252" s="30">
        <f>IF(Database!B252="","",Database!B252)</f>
        <v/>
      </c>
      <c r="C252" s="87">
        <f>IF(Database!B252="","",Database!A252)</f>
        <v/>
      </c>
      <c r="D252" s="30">
        <f>IF(Database!B252="","",Database!D252)</f>
        <v/>
      </c>
      <c r="E252" s="30">
        <f>IF(Database!B252="","",Database!E252)</f>
        <v/>
      </c>
      <c r="F252" s="30">
        <f>IF(Database!B252="","",Database!F252)</f>
        <v/>
      </c>
      <c r="G252" s="30">
        <f>IF(Database!B252="","",Database!G252)</f>
        <v/>
      </c>
      <c r="H252" s="30">
        <f>IF(Database!B252="","",Database!C252)</f>
        <v/>
      </c>
      <c r="I252" s="30">
        <f>IF(Database!B252="","",Database!H252)</f>
        <v/>
      </c>
      <c r="J252" s="31" t="n"/>
      <c r="K252" s="88" t="n"/>
      <c r="L252" s="31" t="n"/>
      <c r="M252" s="31" t="n"/>
      <c r="N252" s="31" t="n"/>
      <c r="O252" s="32" t="n"/>
    </row>
    <row r="253">
      <c r="A253" s="30">
        <f>IF(Database!B253="","",ROW()-1)</f>
        <v/>
      </c>
      <c r="B253" s="30">
        <f>IF(Database!B253="","",Database!B253)</f>
        <v/>
      </c>
      <c r="C253" s="87">
        <f>IF(Database!B253="","",Database!A253)</f>
        <v/>
      </c>
      <c r="D253" s="30">
        <f>IF(Database!B253="","",Database!D253)</f>
        <v/>
      </c>
      <c r="E253" s="30">
        <f>IF(Database!B253="","",Database!E253)</f>
        <v/>
      </c>
      <c r="F253" s="30">
        <f>IF(Database!B253="","",Database!F253)</f>
        <v/>
      </c>
      <c r="G253" s="30">
        <f>IF(Database!B253="","",Database!G253)</f>
        <v/>
      </c>
      <c r="H253" s="30">
        <f>IF(Database!B253="","",Database!C253)</f>
        <v/>
      </c>
      <c r="I253" s="30">
        <f>IF(Database!B253="","",Database!H253)</f>
        <v/>
      </c>
      <c r="J253" s="31" t="n"/>
      <c r="K253" s="88" t="n"/>
      <c r="L253" s="31" t="n"/>
      <c r="M253" s="31" t="n"/>
      <c r="N253" s="31" t="n"/>
      <c r="O253" s="32" t="n"/>
    </row>
    <row r="254">
      <c r="A254" s="30">
        <f>IF(Database!B254="","",ROW()-1)</f>
        <v/>
      </c>
      <c r="B254" s="30">
        <f>IF(Database!B254="","",Database!B254)</f>
        <v/>
      </c>
      <c r="C254" s="87">
        <f>IF(Database!B254="","",Database!A254)</f>
        <v/>
      </c>
      <c r="D254" s="30">
        <f>IF(Database!B254="","",Database!D254)</f>
        <v/>
      </c>
      <c r="E254" s="30">
        <f>IF(Database!B254="","",Database!E254)</f>
        <v/>
      </c>
      <c r="F254" s="30">
        <f>IF(Database!B254="","",Database!F254)</f>
        <v/>
      </c>
      <c r="G254" s="30">
        <f>IF(Database!B254="","",Database!G254)</f>
        <v/>
      </c>
      <c r="H254" s="30">
        <f>IF(Database!B254="","",Database!C254)</f>
        <v/>
      </c>
      <c r="I254" s="30">
        <f>IF(Database!B254="","",Database!H254)</f>
        <v/>
      </c>
      <c r="J254" s="31" t="n"/>
      <c r="K254" s="88" t="n"/>
      <c r="L254" s="31" t="n"/>
      <c r="M254" s="31" t="n"/>
      <c r="N254" s="31" t="n"/>
      <c r="O254" s="32" t="n"/>
    </row>
    <row r="255">
      <c r="A255" s="30">
        <f>IF(Database!B255="","",ROW()-1)</f>
        <v/>
      </c>
      <c r="B255" s="30">
        <f>IF(Database!B255="","",Database!B255)</f>
        <v/>
      </c>
      <c r="C255" s="87">
        <f>IF(Database!B255="","",Database!A255)</f>
        <v/>
      </c>
      <c r="D255" s="30">
        <f>IF(Database!B255="","",Database!D255)</f>
        <v/>
      </c>
      <c r="E255" s="30">
        <f>IF(Database!B255="","",Database!E255)</f>
        <v/>
      </c>
      <c r="F255" s="30">
        <f>IF(Database!B255="","",Database!F255)</f>
        <v/>
      </c>
      <c r="G255" s="30">
        <f>IF(Database!B255="","",Database!G255)</f>
        <v/>
      </c>
      <c r="H255" s="30">
        <f>IF(Database!B255="","",Database!C255)</f>
        <v/>
      </c>
      <c r="I255" s="30">
        <f>IF(Database!B255="","",Database!H255)</f>
        <v/>
      </c>
      <c r="J255" s="31" t="n"/>
      <c r="K255" s="88" t="n"/>
      <c r="L255" s="31" t="n"/>
      <c r="M255" s="31" t="n"/>
      <c r="N255" s="31" t="n"/>
      <c r="O255" s="32" t="n"/>
    </row>
    <row r="256">
      <c r="A256" s="30">
        <f>IF(Database!B256="","",ROW()-1)</f>
        <v/>
      </c>
      <c r="B256" s="30">
        <f>IF(Database!B256="","",Database!B256)</f>
        <v/>
      </c>
      <c r="C256" s="87">
        <f>IF(Database!B256="","",Database!A256)</f>
        <v/>
      </c>
      <c r="D256" s="30">
        <f>IF(Database!B256="","",Database!D256)</f>
        <v/>
      </c>
      <c r="E256" s="30">
        <f>IF(Database!B256="","",Database!E256)</f>
        <v/>
      </c>
      <c r="F256" s="30">
        <f>IF(Database!B256="","",Database!F256)</f>
        <v/>
      </c>
      <c r="G256" s="30">
        <f>IF(Database!B256="","",Database!G256)</f>
        <v/>
      </c>
      <c r="H256" s="30">
        <f>IF(Database!B256="","",Database!C256)</f>
        <v/>
      </c>
      <c r="I256" s="30">
        <f>IF(Database!B256="","",Database!H256)</f>
        <v/>
      </c>
      <c r="J256" s="31" t="n"/>
      <c r="K256" s="88" t="n"/>
      <c r="L256" s="31" t="n"/>
      <c r="M256" s="31" t="n"/>
      <c r="N256" s="31" t="n"/>
      <c r="O256" s="32" t="n"/>
    </row>
    <row r="257">
      <c r="A257" s="30">
        <f>IF(Database!B257="","",ROW()-1)</f>
        <v/>
      </c>
      <c r="B257" s="30">
        <f>IF(Database!B257="","",Database!B257)</f>
        <v/>
      </c>
      <c r="C257" s="87">
        <f>IF(Database!B257="","",Database!A257)</f>
        <v/>
      </c>
      <c r="D257" s="30">
        <f>IF(Database!B257="","",Database!D257)</f>
        <v/>
      </c>
      <c r="E257" s="30">
        <f>IF(Database!B257="","",Database!E257)</f>
        <v/>
      </c>
      <c r="F257" s="30">
        <f>IF(Database!B257="","",Database!F257)</f>
        <v/>
      </c>
      <c r="G257" s="30">
        <f>IF(Database!B257="","",Database!G257)</f>
        <v/>
      </c>
      <c r="H257" s="30">
        <f>IF(Database!B257="","",Database!C257)</f>
        <v/>
      </c>
      <c r="I257" s="30">
        <f>IF(Database!B257="","",Database!H257)</f>
        <v/>
      </c>
      <c r="J257" s="31" t="n"/>
      <c r="K257" s="88" t="n"/>
      <c r="L257" s="31" t="n"/>
      <c r="M257" s="31" t="n"/>
      <c r="N257" s="31" t="n"/>
      <c r="O257" s="32" t="n"/>
    </row>
    <row r="258">
      <c r="A258" s="30">
        <f>IF(Database!B258="","",ROW()-1)</f>
        <v/>
      </c>
      <c r="B258" s="30">
        <f>IF(Database!B258="","",Database!B258)</f>
        <v/>
      </c>
      <c r="C258" s="87">
        <f>IF(Database!B258="","",Database!A258)</f>
        <v/>
      </c>
      <c r="D258" s="30">
        <f>IF(Database!B258="","",Database!D258)</f>
        <v/>
      </c>
      <c r="E258" s="30">
        <f>IF(Database!B258="","",Database!E258)</f>
        <v/>
      </c>
      <c r="F258" s="30">
        <f>IF(Database!B258="","",Database!F258)</f>
        <v/>
      </c>
      <c r="G258" s="30">
        <f>IF(Database!B258="","",Database!G258)</f>
        <v/>
      </c>
      <c r="H258" s="30">
        <f>IF(Database!B258="","",Database!C258)</f>
        <v/>
      </c>
      <c r="I258" s="30">
        <f>IF(Database!B258="","",Database!H258)</f>
        <v/>
      </c>
      <c r="J258" s="31" t="n"/>
      <c r="K258" s="88" t="n"/>
      <c r="L258" s="31" t="n"/>
      <c r="M258" s="31" t="n"/>
      <c r="N258" s="31" t="n"/>
      <c r="O258" s="32" t="n"/>
    </row>
    <row r="259">
      <c r="A259" s="30">
        <f>IF(Database!B259="","",ROW()-1)</f>
        <v/>
      </c>
      <c r="B259" s="30">
        <f>IF(Database!B259="","",Database!B259)</f>
        <v/>
      </c>
      <c r="C259" s="87">
        <f>IF(Database!B259="","",Database!A259)</f>
        <v/>
      </c>
      <c r="D259" s="30">
        <f>IF(Database!B259="","",Database!D259)</f>
        <v/>
      </c>
      <c r="E259" s="30">
        <f>IF(Database!B259="","",Database!E259)</f>
        <v/>
      </c>
      <c r="F259" s="30">
        <f>IF(Database!B259="","",Database!F259)</f>
        <v/>
      </c>
      <c r="G259" s="30">
        <f>IF(Database!B259="","",Database!G259)</f>
        <v/>
      </c>
      <c r="H259" s="30">
        <f>IF(Database!B259="","",Database!C259)</f>
        <v/>
      </c>
      <c r="I259" s="30">
        <f>IF(Database!B259="","",Database!H259)</f>
        <v/>
      </c>
      <c r="J259" s="31" t="n"/>
      <c r="K259" s="88" t="n"/>
      <c r="L259" s="31" t="n"/>
      <c r="M259" s="31" t="n"/>
      <c r="N259" s="31" t="n"/>
      <c r="O259" s="32" t="n"/>
    </row>
    <row r="260">
      <c r="A260" s="30">
        <f>IF(Database!B260="","",ROW()-1)</f>
        <v/>
      </c>
      <c r="B260" s="30">
        <f>IF(Database!B260="","",Database!B260)</f>
        <v/>
      </c>
      <c r="C260" s="87">
        <f>IF(Database!B260="","",Database!A260)</f>
        <v/>
      </c>
      <c r="D260" s="30">
        <f>IF(Database!B260="","",Database!D260)</f>
        <v/>
      </c>
      <c r="E260" s="30">
        <f>IF(Database!B260="","",Database!E260)</f>
        <v/>
      </c>
      <c r="F260" s="30">
        <f>IF(Database!B260="","",Database!F260)</f>
        <v/>
      </c>
      <c r="G260" s="30">
        <f>IF(Database!B260="","",Database!G260)</f>
        <v/>
      </c>
      <c r="H260" s="30">
        <f>IF(Database!B260="","",Database!C260)</f>
        <v/>
      </c>
      <c r="I260" s="30">
        <f>IF(Database!B260="","",Database!H260)</f>
        <v/>
      </c>
      <c r="J260" s="31" t="n"/>
      <c r="K260" s="88" t="n"/>
      <c r="L260" s="31" t="n"/>
      <c r="M260" s="31" t="n"/>
      <c r="N260" s="31" t="n"/>
      <c r="O260" s="32" t="n"/>
    </row>
    <row r="261">
      <c r="A261" s="30">
        <f>IF(Database!B261="","",ROW()-1)</f>
        <v/>
      </c>
      <c r="B261" s="30">
        <f>IF(Database!B261="","",Database!B261)</f>
        <v/>
      </c>
      <c r="C261" s="87">
        <f>IF(Database!B261="","",Database!A261)</f>
        <v/>
      </c>
      <c r="D261" s="30">
        <f>IF(Database!B261="","",Database!D261)</f>
        <v/>
      </c>
      <c r="E261" s="30">
        <f>IF(Database!B261="","",Database!E261)</f>
        <v/>
      </c>
      <c r="F261" s="30">
        <f>IF(Database!B261="","",Database!F261)</f>
        <v/>
      </c>
      <c r="G261" s="30">
        <f>IF(Database!B261="","",Database!G261)</f>
        <v/>
      </c>
      <c r="H261" s="30">
        <f>IF(Database!B261="","",Database!C261)</f>
        <v/>
      </c>
      <c r="I261" s="30">
        <f>IF(Database!B261="","",Database!H261)</f>
        <v/>
      </c>
      <c r="J261" s="31" t="n"/>
      <c r="K261" s="88" t="n"/>
      <c r="L261" s="31" t="n"/>
      <c r="M261" s="31" t="n"/>
      <c r="N261" s="31" t="n"/>
      <c r="O261" s="32" t="n"/>
    </row>
    <row r="262">
      <c r="A262" s="30">
        <f>IF(Database!B262="","",ROW()-1)</f>
        <v/>
      </c>
      <c r="B262" s="30">
        <f>IF(Database!B262="","",Database!B262)</f>
        <v/>
      </c>
      <c r="C262" s="87">
        <f>IF(Database!B262="","",Database!A262)</f>
        <v/>
      </c>
      <c r="D262" s="30">
        <f>IF(Database!B262="","",Database!D262)</f>
        <v/>
      </c>
      <c r="E262" s="30">
        <f>IF(Database!B262="","",Database!E262)</f>
        <v/>
      </c>
      <c r="F262" s="30">
        <f>IF(Database!B262="","",Database!F262)</f>
        <v/>
      </c>
      <c r="G262" s="30">
        <f>IF(Database!B262="","",Database!G262)</f>
        <v/>
      </c>
      <c r="H262" s="30">
        <f>IF(Database!B262="","",Database!C262)</f>
        <v/>
      </c>
      <c r="I262" s="30">
        <f>IF(Database!B262="","",Database!H262)</f>
        <v/>
      </c>
      <c r="J262" s="31" t="n"/>
      <c r="K262" s="88" t="n"/>
      <c r="L262" s="31" t="n"/>
      <c r="M262" s="31" t="n"/>
      <c r="N262" s="31" t="n"/>
      <c r="O262" s="32" t="n"/>
    </row>
    <row r="263">
      <c r="A263" s="30">
        <f>IF(Database!B263="","",ROW()-1)</f>
        <v/>
      </c>
      <c r="B263" s="30">
        <f>IF(Database!B263="","",Database!B263)</f>
        <v/>
      </c>
      <c r="C263" s="87">
        <f>IF(Database!B263="","",Database!A263)</f>
        <v/>
      </c>
      <c r="D263" s="30">
        <f>IF(Database!B263="","",Database!D263)</f>
        <v/>
      </c>
      <c r="E263" s="30">
        <f>IF(Database!B263="","",Database!E263)</f>
        <v/>
      </c>
      <c r="F263" s="30">
        <f>IF(Database!B263="","",Database!F263)</f>
        <v/>
      </c>
      <c r="G263" s="30">
        <f>IF(Database!B263="","",Database!G263)</f>
        <v/>
      </c>
      <c r="H263" s="30">
        <f>IF(Database!B263="","",Database!C263)</f>
        <v/>
      </c>
      <c r="I263" s="30">
        <f>IF(Database!B263="","",Database!H263)</f>
        <v/>
      </c>
      <c r="J263" s="31" t="n"/>
      <c r="K263" s="88" t="n"/>
      <c r="L263" s="31" t="n"/>
      <c r="M263" s="31" t="n"/>
      <c r="N263" s="31" t="n"/>
      <c r="O263" s="32" t="n"/>
    </row>
    <row r="264">
      <c r="A264" s="30">
        <f>IF(Database!B264="","",ROW()-1)</f>
        <v/>
      </c>
      <c r="B264" s="30">
        <f>IF(Database!B264="","",Database!B264)</f>
        <v/>
      </c>
      <c r="C264" s="87">
        <f>IF(Database!B264="","",Database!A264)</f>
        <v/>
      </c>
      <c r="D264" s="30">
        <f>IF(Database!B264="","",Database!D264)</f>
        <v/>
      </c>
      <c r="E264" s="30">
        <f>IF(Database!B264="","",Database!E264)</f>
        <v/>
      </c>
      <c r="F264" s="30">
        <f>IF(Database!B264="","",Database!F264)</f>
        <v/>
      </c>
      <c r="G264" s="30">
        <f>IF(Database!B264="","",Database!G264)</f>
        <v/>
      </c>
      <c r="H264" s="30">
        <f>IF(Database!B264="","",Database!C264)</f>
        <v/>
      </c>
      <c r="I264" s="30">
        <f>IF(Database!B264="","",Database!H264)</f>
        <v/>
      </c>
      <c r="J264" s="31" t="n"/>
      <c r="K264" s="88" t="n"/>
      <c r="L264" s="31" t="n"/>
      <c r="M264" s="31" t="n"/>
      <c r="N264" s="31" t="n"/>
      <c r="O264" s="32" t="n"/>
    </row>
    <row r="265">
      <c r="A265" s="30">
        <f>IF(Database!B265="","",ROW()-1)</f>
        <v/>
      </c>
      <c r="B265" s="30">
        <f>IF(Database!B265="","",Database!B265)</f>
        <v/>
      </c>
      <c r="C265" s="87">
        <f>IF(Database!B265="","",Database!A265)</f>
        <v/>
      </c>
      <c r="D265" s="30">
        <f>IF(Database!B265="","",Database!D265)</f>
        <v/>
      </c>
      <c r="E265" s="30">
        <f>IF(Database!B265="","",Database!E265)</f>
        <v/>
      </c>
      <c r="F265" s="30">
        <f>IF(Database!B265="","",Database!F265)</f>
        <v/>
      </c>
      <c r="G265" s="30">
        <f>IF(Database!B265="","",Database!G265)</f>
        <v/>
      </c>
      <c r="H265" s="30">
        <f>IF(Database!B265="","",Database!C265)</f>
        <v/>
      </c>
      <c r="I265" s="30">
        <f>IF(Database!B265="","",Database!H265)</f>
        <v/>
      </c>
      <c r="J265" s="31" t="n"/>
      <c r="K265" s="88" t="n"/>
      <c r="L265" s="31" t="n"/>
      <c r="M265" s="31" t="n"/>
      <c r="N265" s="31" t="n"/>
      <c r="O265" s="32" t="n"/>
    </row>
    <row r="266">
      <c r="A266" s="30">
        <f>IF(Database!B266="","",ROW()-1)</f>
        <v/>
      </c>
      <c r="B266" s="30">
        <f>IF(Database!B266="","",Database!B266)</f>
        <v/>
      </c>
      <c r="C266" s="87">
        <f>IF(Database!B266="","",Database!A266)</f>
        <v/>
      </c>
      <c r="D266" s="30">
        <f>IF(Database!B266="","",Database!D266)</f>
        <v/>
      </c>
      <c r="E266" s="30">
        <f>IF(Database!B266="","",Database!E266)</f>
        <v/>
      </c>
      <c r="F266" s="30">
        <f>IF(Database!B266="","",Database!F266)</f>
        <v/>
      </c>
      <c r="G266" s="30">
        <f>IF(Database!B266="","",Database!G266)</f>
        <v/>
      </c>
      <c r="H266" s="30">
        <f>IF(Database!B266="","",Database!C266)</f>
        <v/>
      </c>
      <c r="I266" s="30">
        <f>IF(Database!B266="","",Database!H266)</f>
        <v/>
      </c>
      <c r="J266" s="31" t="n"/>
      <c r="K266" s="88" t="n"/>
      <c r="L266" s="31" t="n"/>
      <c r="M266" s="31" t="n"/>
      <c r="N266" s="31" t="n"/>
      <c r="O266" s="32" t="n"/>
    </row>
    <row r="267">
      <c r="A267" s="30">
        <f>IF(Database!B267="","",ROW()-1)</f>
        <v/>
      </c>
      <c r="B267" s="30">
        <f>IF(Database!B267="","",Database!B267)</f>
        <v/>
      </c>
      <c r="C267" s="87">
        <f>IF(Database!B267="","",Database!A267)</f>
        <v/>
      </c>
      <c r="D267" s="30">
        <f>IF(Database!B267="","",Database!D267)</f>
        <v/>
      </c>
      <c r="E267" s="30">
        <f>IF(Database!B267="","",Database!E267)</f>
        <v/>
      </c>
      <c r="F267" s="30">
        <f>IF(Database!B267="","",Database!F267)</f>
        <v/>
      </c>
      <c r="G267" s="30">
        <f>IF(Database!B267="","",Database!G267)</f>
        <v/>
      </c>
      <c r="H267" s="30">
        <f>IF(Database!B267="","",Database!C267)</f>
        <v/>
      </c>
      <c r="I267" s="30">
        <f>IF(Database!B267="","",Database!H267)</f>
        <v/>
      </c>
      <c r="J267" s="31" t="n"/>
      <c r="K267" s="88" t="n"/>
      <c r="L267" s="31" t="n"/>
      <c r="M267" s="31" t="n"/>
      <c r="N267" s="31" t="n"/>
      <c r="O267" s="32" t="n"/>
    </row>
    <row r="268">
      <c r="A268" s="30">
        <f>IF(Database!B268="","",ROW()-1)</f>
        <v/>
      </c>
      <c r="B268" s="30">
        <f>IF(Database!B268="","",Database!B268)</f>
        <v/>
      </c>
      <c r="C268" s="87">
        <f>IF(Database!B268="","",Database!A268)</f>
        <v/>
      </c>
      <c r="D268" s="30">
        <f>IF(Database!B268="","",Database!D268)</f>
        <v/>
      </c>
      <c r="E268" s="30">
        <f>IF(Database!B268="","",Database!E268)</f>
        <v/>
      </c>
      <c r="F268" s="30">
        <f>IF(Database!B268="","",Database!F268)</f>
        <v/>
      </c>
      <c r="G268" s="30">
        <f>IF(Database!B268="","",Database!G268)</f>
        <v/>
      </c>
      <c r="H268" s="30">
        <f>IF(Database!B268="","",Database!C268)</f>
        <v/>
      </c>
      <c r="I268" s="30">
        <f>IF(Database!B268="","",Database!H268)</f>
        <v/>
      </c>
      <c r="J268" s="31" t="n"/>
      <c r="K268" s="88" t="n"/>
      <c r="L268" s="31" t="n"/>
      <c r="M268" s="31" t="n"/>
      <c r="N268" s="31" t="n"/>
      <c r="O268" s="32" t="n"/>
    </row>
    <row r="269">
      <c r="A269" s="30">
        <f>IF(Database!B269="","",ROW()-1)</f>
        <v/>
      </c>
      <c r="B269" s="30">
        <f>IF(Database!B269="","",Database!B269)</f>
        <v/>
      </c>
      <c r="C269" s="87">
        <f>IF(Database!B269="","",Database!A269)</f>
        <v/>
      </c>
      <c r="D269" s="30">
        <f>IF(Database!B269="","",Database!D269)</f>
        <v/>
      </c>
      <c r="E269" s="30">
        <f>IF(Database!B269="","",Database!E269)</f>
        <v/>
      </c>
      <c r="F269" s="30">
        <f>IF(Database!B269="","",Database!F269)</f>
        <v/>
      </c>
      <c r="G269" s="30">
        <f>IF(Database!B269="","",Database!G269)</f>
        <v/>
      </c>
      <c r="H269" s="30">
        <f>IF(Database!B269="","",Database!C269)</f>
        <v/>
      </c>
      <c r="I269" s="30">
        <f>IF(Database!B269="","",Database!H269)</f>
        <v/>
      </c>
      <c r="J269" s="31" t="n"/>
      <c r="K269" s="88" t="n"/>
      <c r="L269" s="31" t="n"/>
      <c r="M269" s="31" t="n"/>
      <c r="N269" s="31" t="n"/>
      <c r="O269" s="32" t="n"/>
    </row>
    <row r="270">
      <c r="A270" s="30">
        <f>IF(Database!B270="","",ROW()-1)</f>
        <v/>
      </c>
      <c r="B270" s="30">
        <f>IF(Database!B270="","",Database!B270)</f>
        <v/>
      </c>
      <c r="C270" s="87">
        <f>IF(Database!B270="","",Database!A270)</f>
        <v/>
      </c>
      <c r="D270" s="30">
        <f>IF(Database!B270="","",Database!D270)</f>
        <v/>
      </c>
      <c r="E270" s="30">
        <f>IF(Database!B270="","",Database!E270)</f>
        <v/>
      </c>
      <c r="F270" s="30">
        <f>IF(Database!B270="","",Database!F270)</f>
        <v/>
      </c>
      <c r="G270" s="30">
        <f>IF(Database!B270="","",Database!G270)</f>
        <v/>
      </c>
      <c r="H270" s="30">
        <f>IF(Database!B270="","",Database!C270)</f>
        <v/>
      </c>
      <c r="I270" s="30">
        <f>IF(Database!B270="","",Database!H270)</f>
        <v/>
      </c>
      <c r="J270" s="31" t="n"/>
      <c r="K270" s="88" t="n"/>
      <c r="L270" s="31" t="n"/>
      <c r="M270" s="31" t="n"/>
      <c r="N270" s="31" t="n"/>
      <c r="O270" s="32" t="n"/>
    </row>
    <row r="271">
      <c r="A271" s="30">
        <f>IF(Database!B271="","",ROW()-1)</f>
        <v/>
      </c>
      <c r="B271" s="30">
        <f>IF(Database!B271="","",Database!B271)</f>
        <v/>
      </c>
      <c r="C271" s="87">
        <f>IF(Database!B271="","",Database!A271)</f>
        <v/>
      </c>
      <c r="D271" s="30">
        <f>IF(Database!B271="","",Database!D271)</f>
        <v/>
      </c>
      <c r="E271" s="30">
        <f>IF(Database!B271="","",Database!E271)</f>
        <v/>
      </c>
      <c r="F271" s="30">
        <f>IF(Database!B271="","",Database!F271)</f>
        <v/>
      </c>
      <c r="G271" s="30">
        <f>IF(Database!B271="","",Database!G271)</f>
        <v/>
      </c>
      <c r="H271" s="30">
        <f>IF(Database!B271="","",Database!C271)</f>
        <v/>
      </c>
      <c r="I271" s="30">
        <f>IF(Database!B271="","",Database!H271)</f>
        <v/>
      </c>
      <c r="J271" s="31" t="n"/>
      <c r="K271" s="88" t="n"/>
      <c r="L271" s="31" t="n"/>
      <c r="M271" s="31" t="n"/>
      <c r="N271" s="31" t="n"/>
      <c r="O271" s="32" t="n"/>
    </row>
    <row r="272">
      <c r="A272" s="30">
        <f>IF(Database!B272="","",ROW()-1)</f>
        <v/>
      </c>
      <c r="B272" s="30">
        <f>IF(Database!B272="","",Database!B272)</f>
        <v/>
      </c>
      <c r="C272" s="87">
        <f>IF(Database!B272="","",Database!A272)</f>
        <v/>
      </c>
      <c r="D272" s="30">
        <f>IF(Database!B272="","",Database!D272)</f>
        <v/>
      </c>
      <c r="E272" s="30">
        <f>IF(Database!B272="","",Database!E272)</f>
        <v/>
      </c>
      <c r="F272" s="30">
        <f>IF(Database!B272="","",Database!F272)</f>
        <v/>
      </c>
      <c r="G272" s="30">
        <f>IF(Database!B272="","",Database!G272)</f>
        <v/>
      </c>
      <c r="H272" s="30">
        <f>IF(Database!B272="","",Database!C272)</f>
        <v/>
      </c>
      <c r="I272" s="30">
        <f>IF(Database!B272="","",Database!H272)</f>
        <v/>
      </c>
      <c r="J272" s="31" t="n"/>
      <c r="K272" s="88" t="n"/>
      <c r="L272" s="31" t="n"/>
      <c r="M272" s="31" t="n"/>
      <c r="N272" s="31" t="n"/>
      <c r="O272" s="32" t="n"/>
    </row>
    <row r="273">
      <c r="A273" s="30">
        <f>IF(Database!B273="","",ROW()-1)</f>
        <v/>
      </c>
      <c r="B273" s="30">
        <f>IF(Database!B273="","",Database!B273)</f>
        <v/>
      </c>
      <c r="C273" s="87">
        <f>IF(Database!B273="","",Database!A273)</f>
        <v/>
      </c>
      <c r="D273" s="30">
        <f>IF(Database!B273="","",Database!D273)</f>
        <v/>
      </c>
      <c r="E273" s="30">
        <f>IF(Database!B273="","",Database!E273)</f>
        <v/>
      </c>
      <c r="F273" s="30">
        <f>IF(Database!B273="","",Database!F273)</f>
        <v/>
      </c>
      <c r="G273" s="30">
        <f>IF(Database!B273="","",Database!G273)</f>
        <v/>
      </c>
      <c r="H273" s="30">
        <f>IF(Database!B273="","",Database!C273)</f>
        <v/>
      </c>
      <c r="I273" s="30">
        <f>IF(Database!B273="","",Database!H273)</f>
        <v/>
      </c>
      <c r="J273" s="31" t="n"/>
      <c r="K273" s="88" t="n"/>
      <c r="L273" s="31" t="n"/>
      <c r="M273" s="31" t="n"/>
      <c r="N273" s="31" t="n"/>
      <c r="O273" s="32" t="n"/>
    </row>
    <row r="274">
      <c r="A274" s="30">
        <f>IF(Database!B274="","",ROW()-1)</f>
        <v/>
      </c>
      <c r="B274" s="30">
        <f>IF(Database!B274="","",Database!B274)</f>
        <v/>
      </c>
      <c r="C274" s="87">
        <f>IF(Database!B274="","",Database!A274)</f>
        <v/>
      </c>
      <c r="D274" s="30">
        <f>IF(Database!B274="","",Database!D274)</f>
        <v/>
      </c>
      <c r="E274" s="30">
        <f>IF(Database!B274="","",Database!E274)</f>
        <v/>
      </c>
      <c r="F274" s="30">
        <f>IF(Database!B274="","",Database!F274)</f>
        <v/>
      </c>
      <c r="G274" s="30">
        <f>IF(Database!B274="","",Database!G274)</f>
        <v/>
      </c>
      <c r="H274" s="30">
        <f>IF(Database!B274="","",Database!C274)</f>
        <v/>
      </c>
      <c r="I274" s="30">
        <f>IF(Database!B274="","",Database!H274)</f>
        <v/>
      </c>
      <c r="J274" s="31" t="n"/>
      <c r="K274" s="88" t="n"/>
      <c r="L274" s="31" t="n"/>
      <c r="M274" s="31" t="n"/>
      <c r="N274" s="31" t="n"/>
      <c r="O274" s="32" t="n"/>
    </row>
    <row r="275">
      <c r="A275" s="30">
        <f>IF(Database!B275="","",ROW()-1)</f>
        <v/>
      </c>
      <c r="B275" s="30">
        <f>IF(Database!B275="","",Database!B275)</f>
        <v/>
      </c>
      <c r="C275" s="87">
        <f>IF(Database!B275="","",Database!A275)</f>
        <v/>
      </c>
      <c r="D275" s="30">
        <f>IF(Database!B275="","",Database!D275)</f>
        <v/>
      </c>
      <c r="E275" s="30">
        <f>IF(Database!B275="","",Database!E275)</f>
        <v/>
      </c>
      <c r="F275" s="30">
        <f>IF(Database!B275="","",Database!F275)</f>
        <v/>
      </c>
      <c r="G275" s="30">
        <f>IF(Database!B275="","",Database!G275)</f>
        <v/>
      </c>
      <c r="H275" s="30">
        <f>IF(Database!B275="","",Database!C275)</f>
        <v/>
      </c>
      <c r="I275" s="30">
        <f>IF(Database!B275="","",Database!H275)</f>
        <v/>
      </c>
      <c r="J275" s="31" t="n"/>
      <c r="K275" s="88" t="n"/>
      <c r="L275" s="31" t="n"/>
      <c r="M275" s="31" t="n"/>
      <c r="N275" s="31" t="n"/>
      <c r="O275" s="32" t="n"/>
    </row>
    <row r="276">
      <c r="A276" s="30">
        <f>IF(Database!B276="","",ROW()-1)</f>
        <v/>
      </c>
      <c r="B276" s="30">
        <f>IF(Database!B276="","",Database!B276)</f>
        <v/>
      </c>
      <c r="C276" s="87">
        <f>IF(Database!B276="","",Database!A276)</f>
        <v/>
      </c>
      <c r="D276" s="30">
        <f>IF(Database!B276="","",Database!D276)</f>
        <v/>
      </c>
      <c r="E276" s="30">
        <f>IF(Database!B276="","",Database!E276)</f>
        <v/>
      </c>
      <c r="F276" s="30">
        <f>IF(Database!B276="","",Database!F276)</f>
        <v/>
      </c>
      <c r="G276" s="30">
        <f>IF(Database!B276="","",Database!G276)</f>
        <v/>
      </c>
      <c r="H276" s="30">
        <f>IF(Database!B276="","",Database!C276)</f>
        <v/>
      </c>
      <c r="I276" s="30">
        <f>IF(Database!B276="","",Database!H276)</f>
        <v/>
      </c>
      <c r="J276" s="31" t="n"/>
      <c r="K276" s="88" t="n"/>
      <c r="L276" s="31" t="n"/>
      <c r="M276" s="31" t="n"/>
      <c r="N276" s="31" t="n"/>
      <c r="O276" s="32" t="n"/>
    </row>
    <row r="277">
      <c r="A277" s="30">
        <f>IF(Database!B277="","",ROW()-1)</f>
        <v/>
      </c>
      <c r="B277" s="30">
        <f>IF(Database!B277="","",Database!B277)</f>
        <v/>
      </c>
      <c r="C277" s="87">
        <f>IF(Database!B277="","",Database!A277)</f>
        <v/>
      </c>
      <c r="D277" s="30">
        <f>IF(Database!B277="","",Database!D277)</f>
        <v/>
      </c>
      <c r="E277" s="30">
        <f>IF(Database!B277="","",Database!E277)</f>
        <v/>
      </c>
      <c r="F277" s="30">
        <f>IF(Database!B277="","",Database!F277)</f>
        <v/>
      </c>
      <c r="G277" s="30">
        <f>IF(Database!B277="","",Database!G277)</f>
        <v/>
      </c>
      <c r="H277" s="30">
        <f>IF(Database!B277="","",Database!C277)</f>
        <v/>
      </c>
      <c r="I277" s="30">
        <f>IF(Database!B277="","",Database!H277)</f>
        <v/>
      </c>
      <c r="J277" s="31" t="n"/>
      <c r="K277" s="88" t="n"/>
      <c r="L277" s="31" t="n"/>
      <c r="M277" s="31" t="n"/>
      <c r="N277" s="31" t="n"/>
      <c r="O277" s="32" t="n"/>
    </row>
    <row r="278">
      <c r="A278" s="30">
        <f>IF(Database!B278="","",ROW()-1)</f>
        <v/>
      </c>
      <c r="B278" s="30">
        <f>IF(Database!B278="","",Database!B278)</f>
        <v/>
      </c>
      <c r="C278" s="87">
        <f>IF(Database!B278="","",Database!A278)</f>
        <v/>
      </c>
      <c r="D278" s="30">
        <f>IF(Database!B278="","",Database!D278)</f>
        <v/>
      </c>
      <c r="E278" s="30">
        <f>IF(Database!B278="","",Database!E278)</f>
        <v/>
      </c>
      <c r="F278" s="30">
        <f>IF(Database!B278="","",Database!F278)</f>
        <v/>
      </c>
      <c r="G278" s="30">
        <f>IF(Database!B278="","",Database!G278)</f>
        <v/>
      </c>
      <c r="H278" s="30">
        <f>IF(Database!B278="","",Database!C278)</f>
        <v/>
      </c>
      <c r="I278" s="30">
        <f>IF(Database!B278="","",Database!H278)</f>
        <v/>
      </c>
      <c r="J278" s="31" t="n"/>
      <c r="K278" s="88" t="n"/>
      <c r="L278" s="31" t="n"/>
      <c r="M278" s="31" t="n"/>
      <c r="N278" s="31" t="n"/>
      <c r="O278" s="32" t="n"/>
    </row>
    <row r="279">
      <c r="A279" s="30">
        <f>IF(Database!B279="","",ROW()-1)</f>
        <v/>
      </c>
      <c r="B279" s="30">
        <f>IF(Database!B279="","",Database!B279)</f>
        <v/>
      </c>
      <c r="C279" s="87">
        <f>IF(Database!B279="","",Database!A279)</f>
        <v/>
      </c>
      <c r="D279" s="30">
        <f>IF(Database!B279="","",Database!D279)</f>
        <v/>
      </c>
      <c r="E279" s="30">
        <f>IF(Database!B279="","",Database!E279)</f>
        <v/>
      </c>
      <c r="F279" s="30">
        <f>IF(Database!B279="","",Database!F279)</f>
        <v/>
      </c>
      <c r="G279" s="30">
        <f>IF(Database!B279="","",Database!G279)</f>
        <v/>
      </c>
      <c r="H279" s="30">
        <f>IF(Database!B279="","",Database!C279)</f>
        <v/>
      </c>
      <c r="I279" s="30">
        <f>IF(Database!B279="","",Database!H279)</f>
        <v/>
      </c>
      <c r="J279" s="31" t="n"/>
      <c r="K279" s="88" t="n"/>
      <c r="L279" s="31" t="n"/>
      <c r="M279" s="31" t="n"/>
      <c r="N279" s="31" t="n"/>
      <c r="O279" s="32" t="n"/>
    </row>
    <row r="280">
      <c r="A280" s="30">
        <f>IF(Database!B280="","",ROW()-1)</f>
        <v/>
      </c>
      <c r="B280" s="30">
        <f>IF(Database!B280="","",Database!B280)</f>
        <v/>
      </c>
      <c r="C280" s="87">
        <f>IF(Database!B280="","",Database!A280)</f>
        <v/>
      </c>
      <c r="D280" s="30">
        <f>IF(Database!B280="","",Database!D280)</f>
        <v/>
      </c>
      <c r="E280" s="30">
        <f>IF(Database!B280="","",Database!E280)</f>
        <v/>
      </c>
      <c r="F280" s="30">
        <f>IF(Database!B280="","",Database!F280)</f>
        <v/>
      </c>
      <c r="G280" s="30">
        <f>IF(Database!B280="","",Database!G280)</f>
        <v/>
      </c>
      <c r="H280" s="30">
        <f>IF(Database!B280="","",Database!C280)</f>
        <v/>
      </c>
      <c r="I280" s="30">
        <f>IF(Database!B280="","",Database!H280)</f>
        <v/>
      </c>
      <c r="J280" s="31" t="n"/>
      <c r="K280" s="88" t="n"/>
      <c r="L280" s="31" t="n"/>
      <c r="M280" s="31" t="n"/>
      <c r="N280" s="31" t="n"/>
      <c r="O280" s="32" t="n"/>
    </row>
    <row r="281">
      <c r="A281" s="30">
        <f>IF(Database!B281="","",ROW()-1)</f>
        <v/>
      </c>
      <c r="B281" s="30">
        <f>IF(Database!B281="","",Database!B281)</f>
        <v/>
      </c>
      <c r="C281" s="87">
        <f>IF(Database!B281="","",Database!A281)</f>
        <v/>
      </c>
      <c r="D281" s="30">
        <f>IF(Database!B281="","",Database!D281)</f>
        <v/>
      </c>
      <c r="E281" s="30">
        <f>IF(Database!B281="","",Database!E281)</f>
        <v/>
      </c>
      <c r="F281" s="30">
        <f>IF(Database!B281="","",Database!F281)</f>
        <v/>
      </c>
      <c r="G281" s="30">
        <f>IF(Database!B281="","",Database!G281)</f>
        <v/>
      </c>
      <c r="H281" s="30">
        <f>IF(Database!B281="","",Database!C281)</f>
        <v/>
      </c>
      <c r="I281" s="30">
        <f>IF(Database!B281="","",Database!H281)</f>
        <v/>
      </c>
      <c r="J281" s="31" t="n"/>
      <c r="K281" s="88" t="n"/>
      <c r="L281" s="31" t="n"/>
      <c r="M281" s="31" t="n"/>
      <c r="N281" s="31" t="n"/>
      <c r="O281" s="32" t="n"/>
    </row>
    <row r="282">
      <c r="A282" s="30">
        <f>IF(Database!B282="","",ROW()-1)</f>
        <v/>
      </c>
      <c r="B282" s="30">
        <f>IF(Database!B282="","",Database!B282)</f>
        <v/>
      </c>
      <c r="C282" s="87">
        <f>IF(Database!B282="","",Database!A282)</f>
        <v/>
      </c>
      <c r="D282" s="30">
        <f>IF(Database!B282="","",Database!D282)</f>
        <v/>
      </c>
      <c r="E282" s="30">
        <f>IF(Database!B282="","",Database!E282)</f>
        <v/>
      </c>
      <c r="F282" s="30">
        <f>IF(Database!B282="","",Database!F282)</f>
        <v/>
      </c>
      <c r="G282" s="30">
        <f>IF(Database!B282="","",Database!G282)</f>
        <v/>
      </c>
      <c r="H282" s="30">
        <f>IF(Database!B282="","",Database!C282)</f>
        <v/>
      </c>
      <c r="I282" s="30">
        <f>IF(Database!B282="","",Database!H282)</f>
        <v/>
      </c>
      <c r="J282" s="31" t="n"/>
      <c r="K282" s="88" t="n"/>
      <c r="L282" s="31" t="n"/>
      <c r="M282" s="31" t="n"/>
      <c r="N282" s="31" t="n"/>
      <c r="O282" s="32" t="n"/>
    </row>
    <row r="283">
      <c r="A283" s="30">
        <f>IF(Database!B283="","",ROW()-1)</f>
        <v/>
      </c>
      <c r="B283" s="30">
        <f>IF(Database!B283="","",Database!B283)</f>
        <v/>
      </c>
      <c r="C283" s="87">
        <f>IF(Database!B283="","",Database!A283)</f>
        <v/>
      </c>
      <c r="D283" s="30">
        <f>IF(Database!B283="","",Database!D283)</f>
        <v/>
      </c>
      <c r="E283" s="30">
        <f>IF(Database!B283="","",Database!E283)</f>
        <v/>
      </c>
      <c r="F283" s="30">
        <f>IF(Database!B283="","",Database!F283)</f>
        <v/>
      </c>
      <c r="G283" s="30">
        <f>IF(Database!B283="","",Database!G283)</f>
        <v/>
      </c>
      <c r="H283" s="30">
        <f>IF(Database!B283="","",Database!C283)</f>
        <v/>
      </c>
      <c r="I283" s="30">
        <f>IF(Database!B283="","",Database!H283)</f>
        <v/>
      </c>
      <c r="J283" s="31" t="n"/>
      <c r="K283" s="88" t="n"/>
      <c r="L283" s="31" t="n"/>
      <c r="M283" s="31" t="n"/>
      <c r="N283" s="31" t="n"/>
      <c r="O283" s="32" t="n"/>
    </row>
    <row r="284">
      <c r="A284" s="30">
        <f>IF(Database!B284="","",ROW()-1)</f>
        <v/>
      </c>
      <c r="B284" s="30">
        <f>IF(Database!B284="","",Database!B284)</f>
        <v/>
      </c>
      <c r="C284" s="87">
        <f>IF(Database!B284="","",Database!A284)</f>
        <v/>
      </c>
      <c r="D284" s="30">
        <f>IF(Database!B284="","",Database!D284)</f>
        <v/>
      </c>
      <c r="E284" s="30">
        <f>IF(Database!B284="","",Database!E284)</f>
        <v/>
      </c>
      <c r="F284" s="30">
        <f>IF(Database!B284="","",Database!F284)</f>
        <v/>
      </c>
      <c r="G284" s="30">
        <f>IF(Database!B284="","",Database!G284)</f>
        <v/>
      </c>
      <c r="H284" s="30">
        <f>IF(Database!B284="","",Database!C284)</f>
        <v/>
      </c>
      <c r="I284" s="30">
        <f>IF(Database!B284="","",Database!H284)</f>
        <v/>
      </c>
      <c r="J284" s="31" t="n"/>
      <c r="K284" s="88" t="n"/>
      <c r="L284" s="31" t="n"/>
      <c r="M284" s="31" t="n"/>
      <c r="N284" s="31" t="n"/>
      <c r="O284" s="32" t="n"/>
    </row>
    <row r="285">
      <c r="A285" s="30">
        <f>IF(Database!B285="","",ROW()-1)</f>
        <v/>
      </c>
      <c r="B285" s="30">
        <f>IF(Database!B285="","",Database!B285)</f>
        <v/>
      </c>
      <c r="C285" s="87">
        <f>IF(Database!B285="","",Database!A285)</f>
        <v/>
      </c>
      <c r="D285" s="30">
        <f>IF(Database!B285="","",Database!D285)</f>
        <v/>
      </c>
      <c r="E285" s="30">
        <f>IF(Database!B285="","",Database!E285)</f>
        <v/>
      </c>
      <c r="F285" s="30">
        <f>IF(Database!B285="","",Database!F285)</f>
        <v/>
      </c>
      <c r="G285" s="30">
        <f>IF(Database!B285="","",Database!G285)</f>
        <v/>
      </c>
      <c r="H285" s="30">
        <f>IF(Database!B285="","",Database!C285)</f>
        <v/>
      </c>
      <c r="I285" s="30">
        <f>IF(Database!B285="","",Database!H285)</f>
        <v/>
      </c>
      <c r="J285" s="31" t="n"/>
      <c r="K285" s="88" t="n"/>
      <c r="L285" s="31" t="n"/>
      <c r="M285" s="31" t="n"/>
      <c r="N285" s="31" t="n"/>
      <c r="O285" s="32" t="n"/>
    </row>
    <row r="286">
      <c r="A286" s="30">
        <f>IF(Database!B286="","",ROW()-1)</f>
        <v/>
      </c>
      <c r="B286" s="30">
        <f>IF(Database!B286="","",Database!B286)</f>
        <v/>
      </c>
      <c r="C286" s="87">
        <f>IF(Database!B286="","",Database!A286)</f>
        <v/>
      </c>
      <c r="D286" s="30">
        <f>IF(Database!B286="","",Database!D286)</f>
        <v/>
      </c>
      <c r="E286" s="30">
        <f>IF(Database!B286="","",Database!E286)</f>
        <v/>
      </c>
      <c r="F286" s="30">
        <f>IF(Database!B286="","",Database!F286)</f>
        <v/>
      </c>
      <c r="G286" s="30">
        <f>IF(Database!B286="","",Database!G286)</f>
        <v/>
      </c>
      <c r="H286" s="30">
        <f>IF(Database!B286="","",Database!C286)</f>
        <v/>
      </c>
      <c r="I286" s="30">
        <f>IF(Database!B286="","",Database!H286)</f>
        <v/>
      </c>
      <c r="J286" s="31" t="n"/>
      <c r="K286" s="88" t="n"/>
      <c r="L286" s="31" t="n"/>
      <c r="M286" s="31" t="n"/>
      <c r="N286" s="31" t="n"/>
      <c r="O286" s="32" t="n"/>
    </row>
    <row r="287">
      <c r="A287" s="30">
        <f>IF(Database!B287="","",ROW()-1)</f>
        <v/>
      </c>
      <c r="B287" s="30">
        <f>IF(Database!B287="","",Database!B287)</f>
        <v/>
      </c>
      <c r="C287" s="87">
        <f>IF(Database!B287="","",Database!A287)</f>
        <v/>
      </c>
      <c r="D287" s="30">
        <f>IF(Database!B287="","",Database!D287)</f>
        <v/>
      </c>
      <c r="E287" s="30">
        <f>IF(Database!B287="","",Database!E287)</f>
        <v/>
      </c>
      <c r="F287" s="30">
        <f>IF(Database!B287="","",Database!F287)</f>
        <v/>
      </c>
      <c r="G287" s="30">
        <f>IF(Database!B287="","",Database!G287)</f>
        <v/>
      </c>
      <c r="H287" s="30">
        <f>IF(Database!B287="","",Database!C287)</f>
        <v/>
      </c>
      <c r="I287" s="30">
        <f>IF(Database!B287="","",Database!H287)</f>
        <v/>
      </c>
      <c r="J287" s="31" t="n"/>
      <c r="K287" s="88" t="n"/>
      <c r="L287" s="31" t="n"/>
      <c r="M287" s="31" t="n"/>
      <c r="N287" s="31" t="n"/>
      <c r="O287" s="32" t="n"/>
    </row>
    <row r="288">
      <c r="A288" s="30">
        <f>IF(Database!B288="","",ROW()-1)</f>
        <v/>
      </c>
      <c r="B288" s="30">
        <f>IF(Database!B288="","",Database!B288)</f>
        <v/>
      </c>
      <c r="C288" s="87">
        <f>IF(Database!B288="","",Database!A288)</f>
        <v/>
      </c>
      <c r="D288" s="30">
        <f>IF(Database!B288="","",Database!D288)</f>
        <v/>
      </c>
      <c r="E288" s="30">
        <f>IF(Database!B288="","",Database!E288)</f>
        <v/>
      </c>
      <c r="F288" s="30">
        <f>IF(Database!B288="","",Database!F288)</f>
        <v/>
      </c>
      <c r="G288" s="30">
        <f>IF(Database!B288="","",Database!G288)</f>
        <v/>
      </c>
      <c r="H288" s="30">
        <f>IF(Database!B288="","",Database!C288)</f>
        <v/>
      </c>
      <c r="I288" s="30">
        <f>IF(Database!B288="","",Database!H288)</f>
        <v/>
      </c>
      <c r="J288" s="31" t="n"/>
      <c r="K288" s="88" t="n"/>
      <c r="L288" s="31" t="n"/>
      <c r="M288" s="31" t="n"/>
      <c r="N288" s="31" t="n"/>
      <c r="O288" s="32" t="n"/>
    </row>
    <row r="289">
      <c r="A289" s="30">
        <f>IF(Database!B289="","",ROW()-1)</f>
        <v/>
      </c>
      <c r="B289" s="30">
        <f>IF(Database!B289="","",Database!B289)</f>
        <v/>
      </c>
      <c r="C289" s="87">
        <f>IF(Database!B289="","",Database!A289)</f>
        <v/>
      </c>
      <c r="D289" s="30">
        <f>IF(Database!B289="","",Database!D289)</f>
        <v/>
      </c>
      <c r="E289" s="30">
        <f>IF(Database!B289="","",Database!E289)</f>
        <v/>
      </c>
      <c r="F289" s="30">
        <f>IF(Database!B289="","",Database!F289)</f>
        <v/>
      </c>
      <c r="G289" s="30">
        <f>IF(Database!B289="","",Database!G289)</f>
        <v/>
      </c>
      <c r="H289" s="30">
        <f>IF(Database!B289="","",Database!C289)</f>
        <v/>
      </c>
      <c r="I289" s="30">
        <f>IF(Database!B289="","",Database!H289)</f>
        <v/>
      </c>
      <c r="J289" s="31" t="n"/>
      <c r="K289" s="88" t="n"/>
      <c r="L289" s="31" t="n"/>
      <c r="M289" s="31" t="n"/>
      <c r="N289" s="31" t="n"/>
      <c r="O289" s="32" t="n"/>
    </row>
    <row r="290">
      <c r="A290" s="30">
        <f>IF(Database!B290="","",ROW()-1)</f>
        <v/>
      </c>
      <c r="B290" s="30">
        <f>IF(Database!B290="","",Database!B290)</f>
        <v/>
      </c>
      <c r="C290" s="87">
        <f>IF(Database!B290="","",Database!A290)</f>
        <v/>
      </c>
      <c r="D290" s="30">
        <f>IF(Database!B290="","",Database!D290)</f>
        <v/>
      </c>
      <c r="E290" s="30">
        <f>IF(Database!B290="","",Database!E290)</f>
        <v/>
      </c>
      <c r="F290" s="30">
        <f>IF(Database!B290="","",Database!F290)</f>
        <v/>
      </c>
      <c r="G290" s="30">
        <f>IF(Database!B290="","",Database!G290)</f>
        <v/>
      </c>
      <c r="H290" s="30">
        <f>IF(Database!B290="","",Database!C290)</f>
        <v/>
      </c>
      <c r="I290" s="30">
        <f>IF(Database!B290="","",Database!H290)</f>
        <v/>
      </c>
      <c r="J290" s="31" t="n"/>
      <c r="K290" s="88" t="n"/>
      <c r="L290" s="31" t="n"/>
      <c r="M290" s="31" t="n"/>
      <c r="N290" s="31" t="n"/>
      <c r="O290" s="32" t="n"/>
    </row>
    <row r="291">
      <c r="A291" s="30">
        <f>IF(Database!B291="","",ROW()-1)</f>
        <v/>
      </c>
      <c r="B291" s="30">
        <f>IF(Database!B291="","",Database!B291)</f>
        <v/>
      </c>
      <c r="C291" s="87">
        <f>IF(Database!B291="","",Database!A291)</f>
        <v/>
      </c>
      <c r="D291" s="30">
        <f>IF(Database!B291="","",Database!D291)</f>
        <v/>
      </c>
      <c r="E291" s="30">
        <f>IF(Database!B291="","",Database!E291)</f>
        <v/>
      </c>
      <c r="F291" s="30">
        <f>IF(Database!B291="","",Database!F291)</f>
        <v/>
      </c>
      <c r="G291" s="30">
        <f>IF(Database!B291="","",Database!G291)</f>
        <v/>
      </c>
      <c r="H291" s="30">
        <f>IF(Database!B291="","",Database!C291)</f>
        <v/>
      </c>
      <c r="I291" s="30">
        <f>IF(Database!B291="","",Database!H291)</f>
        <v/>
      </c>
      <c r="J291" s="31" t="n"/>
      <c r="K291" s="88" t="n"/>
      <c r="L291" s="31" t="n"/>
      <c r="M291" s="31" t="n"/>
      <c r="N291" s="31" t="n"/>
      <c r="O291" s="32" t="n"/>
    </row>
    <row r="292">
      <c r="A292" s="30">
        <f>IF(Database!B292="","",ROW()-1)</f>
        <v/>
      </c>
      <c r="B292" s="30">
        <f>IF(Database!B292="","",Database!B292)</f>
        <v/>
      </c>
      <c r="C292" s="87">
        <f>IF(Database!B292="","",Database!A292)</f>
        <v/>
      </c>
      <c r="D292" s="30">
        <f>IF(Database!B292="","",Database!D292)</f>
        <v/>
      </c>
      <c r="E292" s="30">
        <f>IF(Database!B292="","",Database!E292)</f>
        <v/>
      </c>
      <c r="F292" s="30">
        <f>IF(Database!B292="","",Database!F292)</f>
        <v/>
      </c>
      <c r="G292" s="30">
        <f>IF(Database!B292="","",Database!G292)</f>
        <v/>
      </c>
      <c r="H292" s="30">
        <f>IF(Database!B292="","",Database!C292)</f>
        <v/>
      </c>
      <c r="I292" s="30">
        <f>IF(Database!B292="","",Database!H292)</f>
        <v/>
      </c>
      <c r="J292" s="31" t="n"/>
      <c r="K292" s="88" t="n"/>
      <c r="L292" s="31" t="n"/>
      <c r="M292" s="31" t="n"/>
      <c r="N292" s="31" t="n"/>
      <c r="O292" s="32" t="n"/>
    </row>
    <row r="293">
      <c r="A293" s="30">
        <f>IF(Database!B293="","",ROW()-1)</f>
        <v/>
      </c>
      <c r="B293" s="30">
        <f>IF(Database!B293="","",Database!B293)</f>
        <v/>
      </c>
      <c r="C293" s="87">
        <f>IF(Database!B293="","",Database!A293)</f>
        <v/>
      </c>
      <c r="D293" s="30">
        <f>IF(Database!B293="","",Database!D293)</f>
        <v/>
      </c>
      <c r="E293" s="30">
        <f>IF(Database!B293="","",Database!E293)</f>
        <v/>
      </c>
      <c r="F293" s="30">
        <f>IF(Database!B293="","",Database!F293)</f>
        <v/>
      </c>
      <c r="G293" s="30">
        <f>IF(Database!B293="","",Database!G293)</f>
        <v/>
      </c>
      <c r="H293" s="30">
        <f>IF(Database!B293="","",Database!C293)</f>
        <v/>
      </c>
      <c r="I293" s="30">
        <f>IF(Database!B293="","",Database!H293)</f>
        <v/>
      </c>
      <c r="J293" s="31" t="n"/>
      <c r="K293" s="88" t="n"/>
      <c r="L293" s="31" t="n"/>
      <c r="M293" s="31" t="n"/>
      <c r="N293" s="31" t="n"/>
      <c r="O293" s="32" t="n"/>
    </row>
    <row r="294">
      <c r="A294" s="30">
        <f>IF(Database!B294="","",ROW()-1)</f>
        <v/>
      </c>
      <c r="B294" s="30">
        <f>IF(Database!B294="","",Database!B294)</f>
        <v/>
      </c>
      <c r="C294" s="87">
        <f>IF(Database!B294="","",Database!A294)</f>
        <v/>
      </c>
      <c r="D294" s="30">
        <f>IF(Database!B294="","",Database!D294)</f>
        <v/>
      </c>
      <c r="E294" s="30">
        <f>IF(Database!B294="","",Database!E294)</f>
        <v/>
      </c>
      <c r="F294" s="30">
        <f>IF(Database!B294="","",Database!F294)</f>
        <v/>
      </c>
      <c r="G294" s="30">
        <f>IF(Database!B294="","",Database!G294)</f>
        <v/>
      </c>
      <c r="H294" s="30">
        <f>IF(Database!B294="","",Database!C294)</f>
        <v/>
      </c>
      <c r="I294" s="30">
        <f>IF(Database!B294="","",Database!H294)</f>
        <v/>
      </c>
      <c r="J294" s="31" t="n"/>
      <c r="K294" s="88" t="n"/>
      <c r="L294" s="31" t="n"/>
      <c r="M294" s="31" t="n"/>
      <c r="N294" s="31" t="n"/>
      <c r="O294" s="32" t="n"/>
    </row>
    <row r="295">
      <c r="A295" s="30">
        <f>IF(Database!B295="","",ROW()-1)</f>
        <v/>
      </c>
      <c r="B295" s="30">
        <f>IF(Database!B295="","",Database!B295)</f>
        <v/>
      </c>
      <c r="C295" s="87">
        <f>IF(Database!B295="","",Database!A295)</f>
        <v/>
      </c>
      <c r="D295" s="30">
        <f>IF(Database!B295="","",Database!D295)</f>
        <v/>
      </c>
      <c r="E295" s="30">
        <f>IF(Database!B295="","",Database!E295)</f>
        <v/>
      </c>
      <c r="F295" s="30">
        <f>IF(Database!B295="","",Database!F295)</f>
        <v/>
      </c>
      <c r="G295" s="30">
        <f>IF(Database!B295="","",Database!G295)</f>
        <v/>
      </c>
      <c r="H295" s="30">
        <f>IF(Database!B295="","",Database!C295)</f>
        <v/>
      </c>
      <c r="I295" s="30">
        <f>IF(Database!B295="","",Database!H295)</f>
        <v/>
      </c>
      <c r="J295" s="31" t="n"/>
      <c r="K295" s="88" t="n"/>
      <c r="L295" s="31" t="n"/>
      <c r="M295" s="31" t="n"/>
      <c r="N295" s="31" t="n"/>
      <c r="O295" s="32" t="n"/>
    </row>
    <row r="296">
      <c r="A296" s="30">
        <f>IF(Database!B296="","",ROW()-1)</f>
        <v/>
      </c>
      <c r="B296" s="30">
        <f>IF(Database!B296="","",Database!B296)</f>
        <v/>
      </c>
      <c r="C296" s="87">
        <f>IF(Database!B296="","",Database!A296)</f>
        <v/>
      </c>
      <c r="D296" s="30">
        <f>IF(Database!B296="","",Database!D296)</f>
        <v/>
      </c>
      <c r="E296" s="30">
        <f>IF(Database!B296="","",Database!E296)</f>
        <v/>
      </c>
      <c r="F296" s="30">
        <f>IF(Database!B296="","",Database!F296)</f>
        <v/>
      </c>
      <c r="G296" s="30">
        <f>IF(Database!B296="","",Database!G296)</f>
        <v/>
      </c>
      <c r="H296" s="30">
        <f>IF(Database!B296="","",Database!C296)</f>
        <v/>
      </c>
      <c r="I296" s="30">
        <f>IF(Database!B296="","",Database!H296)</f>
        <v/>
      </c>
      <c r="J296" s="31" t="n"/>
      <c r="K296" s="88" t="n"/>
      <c r="L296" s="31" t="n"/>
      <c r="M296" s="31" t="n"/>
      <c r="N296" s="31" t="n"/>
      <c r="O296" s="32" t="n"/>
    </row>
    <row r="297">
      <c r="A297" s="30">
        <f>IF(Database!B297="","",ROW()-1)</f>
        <v/>
      </c>
      <c r="B297" s="30">
        <f>IF(Database!B297="","",Database!B297)</f>
        <v/>
      </c>
      <c r="C297" s="87">
        <f>IF(Database!B297="","",Database!A297)</f>
        <v/>
      </c>
      <c r="D297" s="30">
        <f>IF(Database!B297="","",Database!D297)</f>
        <v/>
      </c>
      <c r="E297" s="30">
        <f>IF(Database!B297="","",Database!E297)</f>
        <v/>
      </c>
      <c r="F297" s="30">
        <f>IF(Database!B297="","",Database!F297)</f>
        <v/>
      </c>
      <c r="G297" s="30">
        <f>IF(Database!B297="","",Database!G297)</f>
        <v/>
      </c>
      <c r="H297" s="30">
        <f>IF(Database!B297="","",Database!C297)</f>
        <v/>
      </c>
      <c r="I297" s="30">
        <f>IF(Database!B297="","",Database!H297)</f>
        <v/>
      </c>
      <c r="J297" s="31" t="n"/>
      <c r="K297" s="88" t="n"/>
      <c r="L297" s="31" t="n"/>
      <c r="M297" s="31" t="n"/>
      <c r="N297" s="31" t="n"/>
      <c r="O297" s="32" t="n"/>
    </row>
    <row r="298">
      <c r="A298" s="30">
        <f>IF(Database!B298="","",ROW()-1)</f>
        <v/>
      </c>
      <c r="B298" s="30">
        <f>IF(Database!B298="","",Database!B298)</f>
        <v/>
      </c>
      <c r="C298" s="87">
        <f>IF(Database!B298="","",Database!A298)</f>
        <v/>
      </c>
      <c r="D298" s="30">
        <f>IF(Database!B298="","",Database!D298)</f>
        <v/>
      </c>
      <c r="E298" s="30">
        <f>IF(Database!B298="","",Database!E298)</f>
        <v/>
      </c>
      <c r="F298" s="30">
        <f>IF(Database!B298="","",Database!F298)</f>
        <v/>
      </c>
      <c r="G298" s="30">
        <f>IF(Database!B298="","",Database!G298)</f>
        <v/>
      </c>
      <c r="H298" s="30">
        <f>IF(Database!B298="","",Database!C298)</f>
        <v/>
      </c>
      <c r="I298" s="30">
        <f>IF(Database!B298="","",Database!H298)</f>
        <v/>
      </c>
      <c r="J298" s="31" t="n"/>
      <c r="K298" s="88" t="n"/>
      <c r="L298" s="31" t="n"/>
      <c r="M298" s="31" t="n"/>
      <c r="N298" s="31" t="n"/>
      <c r="O298" s="32" t="n"/>
    </row>
    <row r="299">
      <c r="A299" s="30">
        <f>IF(Database!B299="","",ROW()-1)</f>
        <v/>
      </c>
      <c r="B299" s="30">
        <f>IF(Database!B299="","",Database!B299)</f>
        <v/>
      </c>
      <c r="C299" s="87">
        <f>IF(Database!B299="","",Database!A299)</f>
        <v/>
      </c>
      <c r="D299" s="30">
        <f>IF(Database!B299="","",Database!D299)</f>
        <v/>
      </c>
      <c r="E299" s="30">
        <f>IF(Database!B299="","",Database!E299)</f>
        <v/>
      </c>
      <c r="F299" s="30">
        <f>IF(Database!B299="","",Database!F299)</f>
        <v/>
      </c>
      <c r="G299" s="30">
        <f>IF(Database!B299="","",Database!G299)</f>
        <v/>
      </c>
      <c r="H299" s="30">
        <f>IF(Database!B299="","",Database!C299)</f>
        <v/>
      </c>
      <c r="I299" s="30">
        <f>IF(Database!B299="","",Database!H299)</f>
        <v/>
      </c>
      <c r="J299" s="31" t="n"/>
      <c r="K299" s="88" t="n"/>
      <c r="L299" s="31" t="n"/>
      <c r="M299" s="31" t="n"/>
      <c r="N299" s="31" t="n"/>
      <c r="O299" s="32" t="n"/>
    </row>
    <row r="300">
      <c r="A300" s="30">
        <f>IF(Database!B300="","",ROW()-1)</f>
        <v/>
      </c>
      <c r="B300" s="30">
        <f>IF(Database!B300="","",Database!B300)</f>
        <v/>
      </c>
      <c r="C300" s="87">
        <f>IF(Database!B300="","",Database!A300)</f>
        <v/>
      </c>
      <c r="D300" s="30">
        <f>IF(Database!B300="","",Database!D300)</f>
        <v/>
      </c>
      <c r="E300" s="30">
        <f>IF(Database!B300="","",Database!E300)</f>
        <v/>
      </c>
      <c r="F300" s="30">
        <f>IF(Database!B300="","",Database!F300)</f>
        <v/>
      </c>
      <c r="G300" s="30">
        <f>IF(Database!B300="","",Database!G300)</f>
        <v/>
      </c>
      <c r="H300" s="30">
        <f>IF(Database!B300="","",Database!C300)</f>
        <v/>
      </c>
      <c r="I300" s="30">
        <f>IF(Database!B300="","",Database!H300)</f>
        <v/>
      </c>
      <c r="J300" s="31" t="n"/>
      <c r="K300" s="88" t="n"/>
      <c r="L300" s="31" t="n"/>
      <c r="M300" s="31" t="n"/>
      <c r="N300" s="31" t="n"/>
      <c r="O300" s="32" t="n"/>
    </row>
    <row r="301">
      <c r="A301" s="30">
        <f>IF(Database!B301="","",ROW()-1)</f>
        <v/>
      </c>
      <c r="B301" s="30">
        <f>IF(Database!B301="","",Database!B301)</f>
        <v/>
      </c>
      <c r="C301" s="87">
        <f>IF(Database!B301="","",Database!A301)</f>
        <v/>
      </c>
      <c r="D301" s="30">
        <f>IF(Database!B301="","",Database!D301)</f>
        <v/>
      </c>
      <c r="E301" s="30">
        <f>IF(Database!B301="","",Database!E301)</f>
        <v/>
      </c>
      <c r="F301" s="30">
        <f>IF(Database!B301="","",Database!F301)</f>
        <v/>
      </c>
      <c r="G301" s="30">
        <f>IF(Database!B301="","",Database!G301)</f>
        <v/>
      </c>
      <c r="H301" s="30">
        <f>IF(Database!B301="","",Database!C301)</f>
        <v/>
      </c>
      <c r="I301" s="30">
        <f>IF(Database!B301="","",Database!H301)</f>
        <v/>
      </c>
      <c r="J301" s="31" t="n"/>
      <c r="K301" s="88" t="n"/>
      <c r="L301" s="31" t="n"/>
      <c r="M301" s="31" t="n"/>
      <c r="N301" s="31" t="n"/>
      <c r="O301" s="32" t="n"/>
    </row>
    <row r="302">
      <c r="A302" s="30">
        <f>IF(Database!B302="","",ROW()-1)</f>
        <v/>
      </c>
      <c r="B302" s="30">
        <f>IF(Database!B302="","",Database!B302)</f>
        <v/>
      </c>
      <c r="C302" s="87">
        <f>IF(Database!B302="","",Database!A302)</f>
        <v/>
      </c>
      <c r="D302" s="30">
        <f>IF(Database!B302="","",Database!D302)</f>
        <v/>
      </c>
      <c r="E302" s="30">
        <f>IF(Database!B302="","",Database!E302)</f>
        <v/>
      </c>
      <c r="F302" s="30">
        <f>IF(Database!B302="","",Database!F302)</f>
        <v/>
      </c>
      <c r="G302" s="30">
        <f>IF(Database!B302="","",Database!G302)</f>
        <v/>
      </c>
      <c r="H302" s="30">
        <f>IF(Database!B302="","",Database!C302)</f>
        <v/>
      </c>
      <c r="I302" s="30">
        <f>IF(Database!B302="","",Database!H302)</f>
        <v/>
      </c>
      <c r="J302" s="31" t="n"/>
      <c r="K302" s="88" t="n"/>
      <c r="L302" s="31" t="n"/>
      <c r="M302" s="31" t="n"/>
      <c r="N302" s="31" t="n"/>
      <c r="O302" s="32" t="n"/>
    </row>
    <row r="303">
      <c r="A303" s="30">
        <f>IF(Database!B303="","",ROW()-1)</f>
        <v/>
      </c>
      <c r="B303" s="30">
        <f>IF(Database!B303="","",Database!B303)</f>
        <v/>
      </c>
      <c r="C303" s="87">
        <f>IF(Database!B303="","",Database!A303)</f>
        <v/>
      </c>
      <c r="D303" s="30">
        <f>IF(Database!B303="","",Database!D303)</f>
        <v/>
      </c>
      <c r="E303" s="30">
        <f>IF(Database!B303="","",Database!E303)</f>
        <v/>
      </c>
      <c r="F303" s="30">
        <f>IF(Database!B303="","",Database!F303)</f>
        <v/>
      </c>
      <c r="G303" s="30">
        <f>IF(Database!B303="","",Database!G303)</f>
        <v/>
      </c>
      <c r="H303" s="30">
        <f>IF(Database!B303="","",Database!C303)</f>
        <v/>
      </c>
      <c r="I303" s="30">
        <f>IF(Database!B303="","",Database!H303)</f>
        <v/>
      </c>
      <c r="J303" s="31" t="n"/>
      <c r="K303" s="88" t="n"/>
      <c r="L303" s="31" t="n"/>
      <c r="M303" s="31" t="n"/>
      <c r="N303" s="31" t="n"/>
      <c r="O303" s="32" t="n"/>
    </row>
    <row r="304">
      <c r="A304" s="30">
        <f>IF(Database!B304="","",ROW()-1)</f>
        <v/>
      </c>
      <c r="B304" s="30">
        <f>IF(Database!B304="","",Database!B304)</f>
        <v/>
      </c>
      <c r="C304" s="87">
        <f>IF(Database!B304="","",Database!A304)</f>
        <v/>
      </c>
      <c r="D304" s="30">
        <f>IF(Database!B304="","",Database!D304)</f>
        <v/>
      </c>
      <c r="E304" s="30">
        <f>IF(Database!B304="","",Database!E304)</f>
        <v/>
      </c>
      <c r="F304" s="30">
        <f>IF(Database!B304="","",Database!F304)</f>
        <v/>
      </c>
      <c r="G304" s="30">
        <f>IF(Database!B304="","",Database!G304)</f>
        <v/>
      </c>
      <c r="H304" s="30">
        <f>IF(Database!B304="","",Database!C304)</f>
        <v/>
      </c>
      <c r="I304" s="30">
        <f>IF(Database!B304="","",Database!H304)</f>
        <v/>
      </c>
      <c r="J304" s="31" t="n"/>
      <c r="K304" s="88" t="n"/>
      <c r="L304" s="31" t="n"/>
      <c r="M304" s="31" t="n"/>
      <c r="N304" s="31" t="n"/>
      <c r="O304" s="32" t="n"/>
    </row>
    <row r="305">
      <c r="A305" s="30">
        <f>IF(Database!B305="","",ROW()-1)</f>
        <v/>
      </c>
      <c r="B305" s="30">
        <f>IF(Database!B305="","",Database!B305)</f>
        <v/>
      </c>
      <c r="C305" s="87">
        <f>IF(Database!B305="","",Database!A305)</f>
        <v/>
      </c>
      <c r="D305" s="30">
        <f>IF(Database!B305="","",Database!D305)</f>
        <v/>
      </c>
      <c r="E305" s="30">
        <f>IF(Database!B305="","",Database!E305)</f>
        <v/>
      </c>
      <c r="F305" s="30">
        <f>IF(Database!B305="","",Database!F305)</f>
        <v/>
      </c>
      <c r="G305" s="30">
        <f>IF(Database!B305="","",Database!G305)</f>
        <v/>
      </c>
      <c r="H305" s="30">
        <f>IF(Database!B305="","",Database!C305)</f>
        <v/>
      </c>
      <c r="I305" s="30">
        <f>IF(Database!B305="","",Database!H305)</f>
        <v/>
      </c>
      <c r="J305" s="31" t="n"/>
      <c r="K305" s="88" t="n"/>
      <c r="L305" s="31" t="n"/>
      <c r="M305" s="31" t="n"/>
      <c r="N305" s="31" t="n"/>
      <c r="O305" s="32" t="n"/>
    </row>
    <row r="306">
      <c r="A306" s="30">
        <f>IF(Database!B306="","",ROW()-1)</f>
        <v/>
      </c>
      <c r="B306" s="30">
        <f>IF(Database!B306="","",Database!B306)</f>
        <v/>
      </c>
      <c r="C306" s="87">
        <f>IF(Database!B306="","",Database!A306)</f>
        <v/>
      </c>
      <c r="D306" s="30">
        <f>IF(Database!B306="","",Database!D306)</f>
        <v/>
      </c>
      <c r="E306" s="30">
        <f>IF(Database!B306="","",Database!E306)</f>
        <v/>
      </c>
      <c r="F306" s="30">
        <f>IF(Database!B306="","",Database!F306)</f>
        <v/>
      </c>
      <c r="G306" s="30">
        <f>IF(Database!B306="","",Database!G306)</f>
        <v/>
      </c>
      <c r="H306" s="30">
        <f>IF(Database!B306="","",Database!C306)</f>
        <v/>
      </c>
      <c r="I306" s="30">
        <f>IF(Database!B306="","",Database!H306)</f>
        <v/>
      </c>
      <c r="J306" s="31" t="n"/>
      <c r="K306" s="88" t="n"/>
      <c r="L306" s="31" t="n"/>
      <c r="M306" s="31" t="n"/>
      <c r="N306" s="31" t="n"/>
      <c r="O306" s="32" t="n"/>
    </row>
    <row r="307">
      <c r="A307" s="30">
        <f>IF(Database!B307="","",ROW()-1)</f>
        <v/>
      </c>
      <c r="B307" s="30">
        <f>IF(Database!B307="","",Database!B307)</f>
        <v/>
      </c>
      <c r="C307" s="87">
        <f>IF(Database!B307="","",Database!A307)</f>
        <v/>
      </c>
      <c r="D307" s="30">
        <f>IF(Database!B307="","",Database!D307)</f>
        <v/>
      </c>
      <c r="E307" s="30">
        <f>IF(Database!B307="","",Database!E307)</f>
        <v/>
      </c>
      <c r="F307" s="30">
        <f>IF(Database!B307="","",Database!F307)</f>
        <v/>
      </c>
      <c r="G307" s="30">
        <f>IF(Database!B307="","",Database!G307)</f>
        <v/>
      </c>
      <c r="H307" s="30">
        <f>IF(Database!B307="","",Database!C307)</f>
        <v/>
      </c>
      <c r="I307" s="30">
        <f>IF(Database!B307="","",Database!H307)</f>
        <v/>
      </c>
      <c r="J307" s="31" t="n"/>
      <c r="K307" s="88" t="n"/>
      <c r="L307" s="31" t="n"/>
      <c r="M307" s="31" t="n"/>
      <c r="N307" s="31" t="n"/>
      <c r="O307" s="32" t="n"/>
    </row>
    <row r="308">
      <c r="A308" s="30">
        <f>IF(Database!B308="","",ROW()-1)</f>
        <v/>
      </c>
      <c r="B308" s="30">
        <f>IF(Database!B308="","",Database!B308)</f>
        <v/>
      </c>
      <c r="C308" s="87">
        <f>IF(Database!B308="","",Database!A308)</f>
        <v/>
      </c>
      <c r="D308" s="30">
        <f>IF(Database!B308="","",Database!D308)</f>
        <v/>
      </c>
      <c r="E308" s="30">
        <f>IF(Database!B308="","",Database!E308)</f>
        <v/>
      </c>
      <c r="F308" s="30">
        <f>IF(Database!B308="","",Database!F308)</f>
        <v/>
      </c>
      <c r="G308" s="30">
        <f>IF(Database!B308="","",Database!G308)</f>
        <v/>
      </c>
      <c r="H308" s="30">
        <f>IF(Database!B308="","",Database!C308)</f>
        <v/>
      </c>
      <c r="I308" s="30">
        <f>IF(Database!B308="","",Database!H308)</f>
        <v/>
      </c>
      <c r="J308" s="31" t="n"/>
      <c r="K308" s="88" t="n"/>
      <c r="L308" s="31" t="n"/>
      <c r="M308" s="31" t="n"/>
      <c r="N308" s="31" t="n"/>
      <c r="O308" s="32" t="n"/>
    </row>
    <row r="309">
      <c r="A309" s="30">
        <f>IF(Database!B309="","",ROW()-1)</f>
        <v/>
      </c>
      <c r="B309" s="30">
        <f>IF(Database!B309="","",Database!B309)</f>
        <v/>
      </c>
      <c r="C309" s="87">
        <f>IF(Database!B309="","",Database!A309)</f>
        <v/>
      </c>
      <c r="D309" s="30">
        <f>IF(Database!B309="","",Database!D309)</f>
        <v/>
      </c>
      <c r="E309" s="30">
        <f>IF(Database!B309="","",Database!E309)</f>
        <v/>
      </c>
      <c r="F309" s="30">
        <f>IF(Database!B309="","",Database!F309)</f>
        <v/>
      </c>
      <c r="G309" s="30">
        <f>IF(Database!B309="","",Database!G309)</f>
        <v/>
      </c>
      <c r="H309" s="30">
        <f>IF(Database!B309="","",Database!C309)</f>
        <v/>
      </c>
      <c r="I309" s="30">
        <f>IF(Database!B309="","",Database!H309)</f>
        <v/>
      </c>
      <c r="J309" s="31" t="n"/>
      <c r="K309" s="88" t="n"/>
      <c r="L309" s="31" t="n"/>
      <c r="M309" s="31" t="n"/>
      <c r="N309" s="31" t="n"/>
      <c r="O309" s="32" t="n"/>
    </row>
    <row r="310">
      <c r="A310" s="30">
        <f>IF(Database!B310="","",ROW()-1)</f>
        <v/>
      </c>
      <c r="B310" s="30">
        <f>IF(Database!B310="","",Database!B310)</f>
        <v/>
      </c>
      <c r="C310" s="87">
        <f>IF(Database!B310="","",Database!A310)</f>
        <v/>
      </c>
      <c r="D310" s="30">
        <f>IF(Database!B310="","",Database!D310)</f>
        <v/>
      </c>
      <c r="E310" s="30">
        <f>IF(Database!B310="","",Database!E310)</f>
        <v/>
      </c>
      <c r="F310" s="30">
        <f>IF(Database!B310="","",Database!F310)</f>
        <v/>
      </c>
      <c r="G310" s="30">
        <f>IF(Database!B310="","",Database!G310)</f>
        <v/>
      </c>
      <c r="H310" s="30">
        <f>IF(Database!B310="","",Database!C310)</f>
        <v/>
      </c>
      <c r="I310" s="30">
        <f>IF(Database!B310="","",Database!H310)</f>
        <v/>
      </c>
      <c r="J310" s="31" t="n"/>
      <c r="K310" s="88" t="n"/>
      <c r="L310" s="31" t="n"/>
      <c r="M310" s="31" t="n"/>
      <c r="N310" s="31" t="n"/>
      <c r="O310" s="32" t="n"/>
    </row>
    <row r="311">
      <c r="A311" s="30">
        <f>IF(Database!B311="","",ROW()-1)</f>
        <v/>
      </c>
      <c r="B311" s="30">
        <f>IF(Database!B311="","",Database!B311)</f>
        <v/>
      </c>
      <c r="C311" s="87">
        <f>IF(Database!B311="","",Database!A311)</f>
        <v/>
      </c>
      <c r="D311" s="30">
        <f>IF(Database!B311="","",Database!D311)</f>
        <v/>
      </c>
      <c r="E311" s="30">
        <f>IF(Database!B311="","",Database!E311)</f>
        <v/>
      </c>
      <c r="F311" s="30">
        <f>IF(Database!B311="","",Database!F311)</f>
        <v/>
      </c>
      <c r="G311" s="30">
        <f>IF(Database!B311="","",Database!G311)</f>
        <v/>
      </c>
      <c r="H311" s="30">
        <f>IF(Database!B311="","",Database!C311)</f>
        <v/>
      </c>
      <c r="I311" s="30">
        <f>IF(Database!B311="","",Database!H311)</f>
        <v/>
      </c>
      <c r="J311" s="31" t="n"/>
      <c r="K311" s="88" t="n"/>
      <c r="L311" s="31" t="n"/>
      <c r="M311" s="31" t="n"/>
      <c r="N311" s="31" t="n"/>
      <c r="O311" s="32" t="n"/>
    </row>
    <row r="312">
      <c r="A312" s="30">
        <f>IF(Database!B312="","",ROW()-1)</f>
        <v/>
      </c>
      <c r="B312" s="30">
        <f>IF(Database!B312="","",Database!B312)</f>
        <v/>
      </c>
      <c r="C312" s="87">
        <f>IF(Database!B312="","",Database!A312)</f>
        <v/>
      </c>
      <c r="D312" s="30">
        <f>IF(Database!B312="","",Database!D312)</f>
        <v/>
      </c>
      <c r="E312" s="30">
        <f>IF(Database!B312="","",Database!E312)</f>
        <v/>
      </c>
      <c r="F312" s="30">
        <f>IF(Database!B312="","",Database!F312)</f>
        <v/>
      </c>
      <c r="G312" s="30">
        <f>IF(Database!B312="","",Database!G312)</f>
        <v/>
      </c>
      <c r="H312" s="30">
        <f>IF(Database!B312="","",Database!C312)</f>
        <v/>
      </c>
      <c r="I312" s="30">
        <f>IF(Database!B312="","",Database!H312)</f>
        <v/>
      </c>
      <c r="J312" s="31" t="n"/>
      <c r="K312" s="88" t="n"/>
      <c r="L312" s="31" t="n"/>
      <c r="M312" s="31" t="n"/>
      <c r="N312" s="31" t="n"/>
      <c r="O312" s="32" t="n"/>
    </row>
    <row r="313">
      <c r="A313" s="30">
        <f>IF(Database!B313="","",ROW()-1)</f>
        <v/>
      </c>
      <c r="B313" s="30">
        <f>IF(Database!B313="","",Database!B313)</f>
        <v/>
      </c>
      <c r="C313" s="87">
        <f>IF(Database!B313="","",Database!A313)</f>
        <v/>
      </c>
      <c r="D313" s="30">
        <f>IF(Database!B313="","",Database!D313)</f>
        <v/>
      </c>
      <c r="E313" s="30">
        <f>IF(Database!B313="","",Database!E313)</f>
        <v/>
      </c>
      <c r="F313" s="30">
        <f>IF(Database!B313="","",Database!F313)</f>
        <v/>
      </c>
      <c r="G313" s="30">
        <f>IF(Database!B313="","",Database!G313)</f>
        <v/>
      </c>
      <c r="H313" s="30">
        <f>IF(Database!B313="","",Database!C313)</f>
        <v/>
      </c>
      <c r="I313" s="30">
        <f>IF(Database!B313="","",Database!H313)</f>
        <v/>
      </c>
      <c r="J313" s="31" t="n"/>
      <c r="K313" s="88" t="n"/>
      <c r="L313" s="31" t="n"/>
      <c r="M313" s="31" t="n"/>
      <c r="N313" s="31" t="n"/>
      <c r="O313" s="32" t="n"/>
    </row>
    <row r="314">
      <c r="A314" s="30">
        <f>IF(Database!B314="","",ROW()-1)</f>
        <v/>
      </c>
      <c r="B314" s="30">
        <f>IF(Database!B314="","",Database!B314)</f>
        <v/>
      </c>
      <c r="C314" s="87">
        <f>IF(Database!B314="","",Database!A314)</f>
        <v/>
      </c>
      <c r="D314" s="30">
        <f>IF(Database!B314="","",Database!D314)</f>
        <v/>
      </c>
      <c r="E314" s="30">
        <f>IF(Database!B314="","",Database!E314)</f>
        <v/>
      </c>
      <c r="F314" s="30">
        <f>IF(Database!B314="","",Database!F314)</f>
        <v/>
      </c>
      <c r="G314" s="30">
        <f>IF(Database!B314="","",Database!G314)</f>
        <v/>
      </c>
      <c r="H314" s="30">
        <f>IF(Database!B314="","",Database!C314)</f>
        <v/>
      </c>
      <c r="I314" s="30">
        <f>IF(Database!B314="","",Database!H314)</f>
        <v/>
      </c>
      <c r="J314" s="31" t="n"/>
      <c r="K314" s="88" t="n"/>
      <c r="L314" s="31" t="n"/>
      <c r="M314" s="31" t="n"/>
      <c r="N314" s="31" t="n"/>
      <c r="O314" s="32" t="n"/>
    </row>
    <row r="315">
      <c r="A315" s="30">
        <f>IF(Database!B315="","",ROW()-1)</f>
        <v/>
      </c>
      <c r="B315" s="30">
        <f>IF(Database!B315="","",Database!B315)</f>
        <v/>
      </c>
      <c r="C315" s="87">
        <f>IF(Database!B315="","",Database!A315)</f>
        <v/>
      </c>
      <c r="D315" s="30">
        <f>IF(Database!B315="","",Database!D315)</f>
        <v/>
      </c>
      <c r="E315" s="30">
        <f>IF(Database!B315="","",Database!E315)</f>
        <v/>
      </c>
      <c r="F315" s="30">
        <f>IF(Database!B315="","",Database!F315)</f>
        <v/>
      </c>
      <c r="G315" s="30">
        <f>IF(Database!B315="","",Database!G315)</f>
        <v/>
      </c>
      <c r="H315" s="30">
        <f>IF(Database!B315="","",Database!C315)</f>
        <v/>
      </c>
      <c r="I315" s="30">
        <f>IF(Database!B315="","",Database!H315)</f>
        <v/>
      </c>
      <c r="J315" s="31" t="n"/>
      <c r="K315" s="88" t="n"/>
      <c r="L315" s="31" t="n"/>
      <c r="M315" s="31" t="n"/>
      <c r="N315" s="31" t="n"/>
      <c r="O315" s="32" t="n"/>
    </row>
    <row r="316">
      <c r="A316" s="30">
        <f>IF(Database!B316="","",ROW()-1)</f>
        <v/>
      </c>
      <c r="B316" s="30">
        <f>IF(Database!B316="","",Database!B316)</f>
        <v/>
      </c>
      <c r="C316" s="87">
        <f>IF(Database!B316="","",Database!A316)</f>
        <v/>
      </c>
      <c r="D316" s="30">
        <f>IF(Database!B316="","",Database!D316)</f>
        <v/>
      </c>
      <c r="E316" s="30">
        <f>IF(Database!B316="","",Database!E316)</f>
        <v/>
      </c>
      <c r="F316" s="30">
        <f>IF(Database!B316="","",Database!F316)</f>
        <v/>
      </c>
      <c r="G316" s="30">
        <f>IF(Database!B316="","",Database!G316)</f>
        <v/>
      </c>
      <c r="H316" s="30">
        <f>IF(Database!B316="","",Database!C316)</f>
        <v/>
      </c>
      <c r="I316" s="30">
        <f>IF(Database!B316="","",Database!H316)</f>
        <v/>
      </c>
      <c r="J316" s="31" t="n"/>
      <c r="K316" s="88" t="n"/>
      <c r="L316" s="31" t="n"/>
      <c r="M316" s="31" t="n"/>
      <c r="N316" s="31" t="n"/>
      <c r="O316" s="32" t="n"/>
    </row>
    <row r="317">
      <c r="A317" s="30">
        <f>IF(Database!B317="","",ROW()-1)</f>
        <v/>
      </c>
      <c r="B317" s="30">
        <f>IF(Database!B317="","",Database!B317)</f>
        <v/>
      </c>
      <c r="C317" s="87">
        <f>IF(Database!B317="","",Database!A317)</f>
        <v/>
      </c>
      <c r="D317" s="30">
        <f>IF(Database!B317="","",Database!D317)</f>
        <v/>
      </c>
      <c r="E317" s="30">
        <f>IF(Database!B317="","",Database!E317)</f>
        <v/>
      </c>
      <c r="F317" s="30">
        <f>IF(Database!B317="","",Database!F317)</f>
        <v/>
      </c>
      <c r="G317" s="30">
        <f>IF(Database!B317="","",Database!G317)</f>
        <v/>
      </c>
      <c r="H317" s="30">
        <f>IF(Database!B317="","",Database!C317)</f>
        <v/>
      </c>
      <c r="I317" s="30">
        <f>IF(Database!B317="","",Database!H317)</f>
        <v/>
      </c>
      <c r="J317" s="31" t="n"/>
      <c r="K317" s="88" t="n"/>
      <c r="L317" s="31" t="n"/>
      <c r="M317" s="31" t="n"/>
      <c r="N317" s="31" t="n"/>
      <c r="O317" s="32" t="n"/>
    </row>
    <row r="318">
      <c r="A318" s="30">
        <f>IF(Database!B318="","",ROW()-1)</f>
        <v/>
      </c>
      <c r="B318" s="30">
        <f>IF(Database!B318="","",Database!B318)</f>
        <v/>
      </c>
      <c r="C318" s="87">
        <f>IF(Database!B318="","",Database!A318)</f>
        <v/>
      </c>
      <c r="D318" s="30">
        <f>IF(Database!B318="","",Database!D318)</f>
        <v/>
      </c>
      <c r="E318" s="30">
        <f>IF(Database!B318="","",Database!E318)</f>
        <v/>
      </c>
      <c r="F318" s="30">
        <f>IF(Database!B318="","",Database!F318)</f>
        <v/>
      </c>
      <c r="G318" s="30">
        <f>IF(Database!B318="","",Database!G318)</f>
        <v/>
      </c>
      <c r="H318" s="30">
        <f>IF(Database!B318="","",Database!C318)</f>
        <v/>
      </c>
      <c r="I318" s="30">
        <f>IF(Database!B318="","",Database!H318)</f>
        <v/>
      </c>
      <c r="J318" s="31" t="n"/>
      <c r="K318" s="88" t="n"/>
      <c r="L318" s="31" t="n"/>
      <c r="M318" s="31" t="n"/>
      <c r="N318" s="31" t="n"/>
      <c r="O318" s="32" t="n"/>
    </row>
    <row r="319">
      <c r="A319" s="30">
        <f>IF(Database!B319="","",ROW()-1)</f>
        <v/>
      </c>
      <c r="B319" s="30">
        <f>IF(Database!B319="","",Database!B319)</f>
        <v/>
      </c>
      <c r="C319" s="87">
        <f>IF(Database!B319="","",Database!A319)</f>
        <v/>
      </c>
      <c r="D319" s="30">
        <f>IF(Database!B319="","",Database!D319)</f>
        <v/>
      </c>
      <c r="E319" s="30">
        <f>IF(Database!B319="","",Database!E319)</f>
        <v/>
      </c>
      <c r="F319" s="30">
        <f>IF(Database!B319="","",Database!F319)</f>
        <v/>
      </c>
      <c r="G319" s="30">
        <f>IF(Database!B319="","",Database!G319)</f>
        <v/>
      </c>
      <c r="H319" s="30">
        <f>IF(Database!B319="","",Database!C319)</f>
        <v/>
      </c>
      <c r="I319" s="30">
        <f>IF(Database!B319="","",Database!H319)</f>
        <v/>
      </c>
      <c r="J319" s="31" t="n"/>
      <c r="K319" s="88" t="n"/>
      <c r="L319" s="31" t="n"/>
      <c r="M319" s="31" t="n"/>
      <c r="N319" s="31" t="n"/>
      <c r="O319" s="32" t="n"/>
    </row>
    <row r="320">
      <c r="A320" s="30">
        <f>IF(Database!B320="","",ROW()-1)</f>
        <v/>
      </c>
      <c r="B320" s="30">
        <f>IF(Database!B320="","",Database!B320)</f>
        <v/>
      </c>
      <c r="C320" s="87">
        <f>IF(Database!B320="","",Database!A320)</f>
        <v/>
      </c>
      <c r="D320" s="30">
        <f>IF(Database!B320="","",Database!D320)</f>
        <v/>
      </c>
      <c r="E320" s="30">
        <f>IF(Database!B320="","",Database!E320)</f>
        <v/>
      </c>
      <c r="F320" s="30">
        <f>IF(Database!B320="","",Database!F320)</f>
        <v/>
      </c>
      <c r="G320" s="30">
        <f>IF(Database!B320="","",Database!G320)</f>
        <v/>
      </c>
      <c r="H320" s="30">
        <f>IF(Database!B320="","",Database!C320)</f>
        <v/>
      </c>
      <c r="I320" s="30">
        <f>IF(Database!B320="","",Database!H320)</f>
        <v/>
      </c>
      <c r="J320" s="31" t="n"/>
      <c r="K320" s="88" t="n"/>
      <c r="L320" s="31" t="n"/>
      <c r="M320" s="31" t="n"/>
      <c r="N320" s="31" t="n"/>
      <c r="O320" s="32" t="n"/>
    </row>
    <row r="321">
      <c r="A321" s="30">
        <f>IF(Database!B321="","",ROW()-1)</f>
        <v/>
      </c>
      <c r="B321" s="30">
        <f>IF(Database!B321="","",Database!B321)</f>
        <v/>
      </c>
      <c r="C321" s="87">
        <f>IF(Database!B321="","",Database!A321)</f>
        <v/>
      </c>
      <c r="D321" s="30">
        <f>IF(Database!B321="","",Database!D321)</f>
        <v/>
      </c>
      <c r="E321" s="30">
        <f>IF(Database!B321="","",Database!E321)</f>
        <v/>
      </c>
      <c r="F321" s="30">
        <f>IF(Database!B321="","",Database!F321)</f>
        <v/>
      </c>
      <c r="G321" s="30">
        <f>IF(Database!B321="","",Database!G321)</f>
        <v/>
      </c>
      <c r="H321" s="30">
        <f>IF(Database!B321="","",Database!C321)</f>
        <v/>
      </c>
      <c r="I321" s="30">
        <f>IF(Database!B321="","",Database!H321)</f>
        <v/>
      </c>
      <c r="J321" s="31" t="n"/>
      <c r="K321" s="88" t="n"/>
      <c r="L321" s="31" t="n"/>
      <c r="M321" s="31" t="n"/>
      <c r="N321" s="31" t="n"/>
      <c r="O321" s="32" t="n"/>
    </row>
    <row r="322">
      <c r="A322" s="30">
        <f>IF(Database!B322="","",ROW()-1)</f>
        <v/>
      </c>
      <c r="B322" s="30">
        <f>IF(Database!B322="","",Database!B322)</f>
        <v/>
      </c>
      <c r="C322" s="87">
        <f>IF(Database!B322="","",Database!A322)</f>
        <v/>
      </c>
      <c r="D322" s="30">
        <f>IF(Database!B322="","",Database!D322)</f>
        <v/>
      </c>
      <c r="E322" s="30">
        <f>IF(Database!B322="","",Database!E322)</f>
        <v/>
      </c>
      <c r="F322" s="30">
        <f>IF(Database!B322="","",Database!F322)</f>
        <v/>
      </c>
      <c r="G322" s="30">
        <f>IF(Database!B322="","",Database!G322)</f>
        <v/>
      </c>
      <c r="H322" s="30">
        <f>IF(Database!B322="","",Database!C322)</f>
        <v/>
      </c>
      <c r="I322" s="30">
        <f>IF(Database!B322="","",Database!H322)</f>
        <v/>
      </c>
      <c r="J322" s="31" t="n"/>
      <c r="K322" s="88" t="n"/>
      <c r="L322" s="31" t="n"/>
      <c r="M322" s="31" t="n"/>
      <c r="N322" s="31" t="n"/>
      <c r="O322" s="32" t="n"/>
    </row>
    <row r="323">
      <c r="A323" s="30">
        <f>IF(Database!B323="","",ROW()-1)</f>
        <v/>
      </c>
      <c r="B323" s="30">
        <f>IF(Database!B323="","",Database!B323)</f>
        <v/>
      </c>
      <c r="C323" s="87">
        <f>IF(Database!B323="","",Database!A323)</f>
        <v/>
      </c>
      <c r="D323" s="30">
        <f>IF(Database!B323="","",Database!D323)</f>
        <v/>
      </c>
      <c r="E323" s="30">
        <f>IF(Database!B323="","",Database!E323)</f>
        <v/>
      </c>
      <c r="F323" s="30">
        <f>IF(Database!B323="","",Database!F323)</f>
        <v/>
      </c>
      <c r="G323" s="30">
        <f>IF(Database!B323="","",Database!G323)</f>
        <v/>
      </c>
      <c r="H323" s="30">
        <f>IF(Database!B323="","",Database!C323)</f>
        <v/>
      </c>
      <c r="I323" s="30">
        <f>IF(Database!B323="","",Database!H323)</f>
        <v/>
      </c>
      <c r="J323" s="31" t="n"/>
      <c r="K323" s="88" t="n"/>
      <c r="L323" s="31" t="n"/>
      <c r="M323" s="31" t="n"/>
      <c r="N323" s="31" t="n"/>
      <c r="O323" s="32" t="n"/>
    </row>
    <row r="324">
      <c r="A324" s="30">
        <f>IF(Database!B324="","",ROW()-1)</f>
        <v/>
      </c>
      <c r="B324" s="30">
        <f>IF(Database!B324="","",Database!B324)</f>
        <v/>
      </c>
      <c r="C324" s="87">
        <f>IF(Database!B324="","",Database!A324)</f>
        <v/>
      </c>
      <c r="D324" s="30">
        <f>IF(Database!B324="","",Database!D324)</f>
        <v/>
      </c>
      <c r="E324" s="30">
        <f>IF(Database!B324="","",Database!E324)</f>
        <v/>
      </c>
      <c r="F324" s="30">
        <f>IF(Database!B324="","",Database!F324)</f>
        <v/>
      </c>
      <c r="G324" s="30">
        <f>IF(Database!B324="","",Database!G324)</f>
        <v/>
      </c>
      <c r="H324" s="30">
        <f>IF(Database!B324="","",Database!C324)</f>
        <v/>
      </c>
      <c r="I324" s="30">
        <f>IF(Database!B324="","",Database!H324)</f>
        <v/>
      </c>
      <c r="J324" s="31" t="n"/>
      <c r="K324" s="88" t="n"/>
      <c r="L324" s="31" t="n"/>
      <c r="M324" s="31" t="n"/>
      <c r="N324" s="31" t="n"/>
      <c r="O324" s="32" t="n"/>
    </row>
    <row r="325">
      <c r="A325" s="30">
        <f>IF(Database!B325="","",ROW()-1)</f>
        <v/>
      </c>
      <c r="B325" s="30">
        <f>IF(Database!B325="","",Database!B325)</f>
        <v/>
      </c>
      <c r="C325" s="87">
        <f>IF(Database!B325="","",Database!A325)</f>
        <v/>
      </c>
      <c r="D325" s="30">
        <f>IF(Database!B325="","",Database!D325)</f>
        <v/>
      </c>
      <c r="E325" s="30">
        <f>IF(Database!B325="","",Database!E325)</f>
        <v/>
      </c>
      <c r="F325" s="30">
        <f>IF(Database!B325="","",Database!F325)</f>
        <v/>
      </c>
      <c r="G325" s="30">
        <f>IF(Database!B325="","",Database!G325)</f>
        <v/>
      </c>
      <c r="H325" s="30">
        <f>IF(Database!B325="","",Database!C325)</f>
        <v/>
      </c>
      <c r="I325" s="30">
        <f>IF(Database!B325="","",Database!H325)</f>
        <v/>
      </c>
      <c r="J325" s="31" t="n"/>
      <c r="K325" s="88" t="n"/>
      <c r="L325" s="31" t="n"/>
      <c r="M325" s="31" t="n"/>
      <c r="N325" s="31" t="n"/>
      <c r="O325" s="32" t="n"/>
    </row>
    <row r="326">
      <c r="A326" s="30">
        <f>IF(Database!B326="","",ROW()-1)</f>
        <v/>
      </c>
      <c r="B326" s="30">
        <f>IF(Database!B326="","",Database!B326)</f>
        <v/>
      </c>
      <c r="C326" s="87">
        <f>IF(Database!B326="","",Database!A326)</f>
        <v/>
      </c>
      <c r="D326" s="30">
        <f>IF(Database!B326="","",Database!D326)</f>
        <v/>
      </c>
      <c r="E326" s="30">
        <f>IF(Database!B326="","",Database!E326)</f>
        <v/>
      </c>
      <c r="F326" s="30">
        <f>IF(Database!B326="","",Database!F326)</f>
        <v/>
      </c>
      <c r="G326" s="30">
        <f>IF(Database!B326="","",Database!G326)</f>
        <v/>
      </c>
      <c r="H326" s="30">
        <f>IF(Database!B326="","",Database!C326)</f>
        <v/>
      </c>
      <c r="I326" s="30">
        <f>IF(Database!B326="","",Database!H326)</f>
        <v/>
      </c>
      <c r="J326" s="31" t="n"/>
      <c r="K326" s="88" t="n"/>
      <c r="L326" s="31" t="n"/>
      <c r="M326" s="31" t="n"/>
      <c r="N326" s="31" t="n"/>
      <c r="O326" s="32" t="n"/>
    </row>
    <row r="327">
      <c r="A327" s="30">
        <f>IF(Database!B327="","",ROW()-1)</f>
        <v/>
      </c>
      <c r="B327" s="30">
        <f>IF(Database!B327="","",Database!B327)</f>
        <v/>
      </c>
      <c r="C327" s="87">
        <f>IF(Database!B327="","",Database!A327)</f>
        <v/>
      </c>
      <c r="D327" s="30">
        <f>IF(Database!B327="","",Database!D327)</f>
        <v/>
      </c>
      <c r="E327" s="30">
        <f>IF(Database!B327="","",Database!E327)</f>
        <v/>
      </c>
      <c r="F327" s="30">
        <f>IF(Database!B327="","",Database!F327)</f>
        <v/>
      </c>
      <c r="G327" s="30">
        <f>IF(Database!B327="","",Database!G327)</f>
        <v/>
      </c>
      <c r="H327" s="30">
        <f>IF(Database!B327="","",Database!C327)</f>
        <v/>
      </c>
      <c r="I327" s="30">
        <f>IF(Database!B327="","",Database!H327)</f>
        <v/>
      </c>
      <c r="J327" s="31" t="n"/>
      <c r="K327" s="88" t="n"/>
      <c r="L327" s="31" t="n"/>
      <c r="M327" s="31" t="n"/>
      <c r="N327" s="31" t="n"/>
      <c r="O327" s="32" t="n"/>
    </row>
    <row r="328">
      <c r="A328" s="30">
        <f>IF(Database!B328="","",ROW()-1)</f>
        <v/>
      </c>
      <c r="B328" s="30">
        <f>IF(Database!B328="","",Database!B328)</f>
        <v/>
      </c>
      <c r="C328" s="87">
        <f>IF(Database!B328="","",Database!A328)</f>
        <v/>
      </c>
      <c r="D328" s="30">
        <f>IF(Database!B328="","",Database!D328)</f>
        <v/>
      </c>
      <c r="E328" s="30">
        <f>IF(Database!B328="","",Database!E328)</f>
        <v/>
      </c>
      <c r="F328" s="30">
        <f>IF(Database!B328="","",Database!F328)</f>
        <v/>
      </c>
      <c r="G328" s="30">
        <f>IF(Database!B328="","",Database!G328)</f>
        <v/>
      </c>
      <c r="H328" s="30">
        <f>IF(Database!B328="","",Database!C328)</f>
        <v/>
      </c>
      <c r="I328" s="30">
        <f>IF(Database!B328="","",Database!H328)</f>
        <v/>
      </c>
      <c r="J328" s="31" t="n"/>
      <c r="K328" s="88" t="n"/>
      <c r="L328" s="31" t="n"/>
      <c r="M328" s="31" t="n"/>
      <c r="N328" s="31" t="n"/>
      <c r="O328" s="32" t="n"/>
    </row>
    <row r="329">
      <c r="A329" s="30">
        <f>IF(Database!B329="","",ROW()-1)</f>
        <v/>
      </c>
      <c r="B329" s="30">
        <f>IF(Database!B329="","",Database!B329)</f>
        <v/>
      </c>
      <c r="C329" s="87">
        <f>IF(Database!B329="","",Database!A329)</f>
        <v/>
      </c>
      <c r="D329" s="30">
        <f>IF(Database!B329="","",Database!D329)</f>
        <v/>
      </c>
      <c r="E329" s="30">
        <f>IF(Database!B329="","",Database!E329)</f>
        <v/>
      </c>
      <c r="F329" s="30">
        <f>IF(Database!B329="","",Database!F329)</f>
        <v/>
      </c>
      <c r="G329" s="30">
        <f>IF(Database!B329="","",Database!G329)</f>
        <v/>
      </c>
      <c r="H329" s="30">
        <f>IF(Database!B329="","",Database!C329)</f>
        <v/>
      </c>
      <c r="I329" s="30">
        <f>IF(Database!B329="","",Database!H329)</f>
        <v/>
      </c>
      <c r="J329" s="31" t="n"/>
      <c r="K329" s="88" t="n"/>
      <c r="L329" s="31" t="n"/>
      <c r="M329" s="31" t="n"/>
      <c r="N329" s="31" t="n"/>
      <c r="O329" s="32" t="n"/>
    </row>
    <row r="330">
      <c r="A330" s="30">
        <f>IF(Database!B330="","",ROW()-1)</f>
        <v/>
      </c>
      <c r="B330" s="30">
        <f>IF(Database!B330="","",Database!B330)</f>
        <v/>
      </c>
      <c r="C330" s="87">
        <f>IF(Database!B330="","",Database!A330)</f>
        <v/>
      </c>
      <c r="D330" s="30">
        <f>IF(Database!B330="","",Database!D330)</f>
        <v/>
      </c>
      <c r="E330" s="30">
        <f>IF(Database!B330="","",Database!E330)</f>
        <v/>
      </c>
      <c r="F330" s="30">
        <f>IF(Database!B330="","",Database!F330)</f>
        <v/>
      </c>
      <c r="G330" s="30">
        <f>IF(Database!B330="","",Database!G330)</f>
        <v/>
      </c>
      <c r="H330" s="30">
        <f>IF(Database!B330="","",Database!C330)</f>
        <v/>
      </c>
      <c r="I330" s="30">
        <f>IF(Database!B330="","",Database!H330)</f>
        <v/>
      </c>
      <c r="J330" s="31" t="n"/>
      <c r="K330" s="88" t="n"/>
      <c r="L330" s="31" t="n"/>
      <c r="M330" s="31" t="n"/>
      <c r="N330" s="31" t="n"/>
      <c r="O330" s="32" t="n"/>
    </row>
    <row r="331">
      <c r="A331" s="30">
        <f>IF(Database!B331="","",ROW()-1)</f>
        <v/>
      </c>
      <c r="B331" s="30">
        <f>IF(Database!B331="","",Database!B331)</f>
        <v/>
      </c>
      <c r="C331" s="87">
        <f>IF(Database!B331="","",Database!A331)</f>
        <v/>
      </c>
      <c r="D331" s="30">
        <f>IF(Database!B331="","",Database!D331)</f>
        <v/>
      </c>
      <c r="E331" s="30">
        <f>IF(Database!B331="","",Database!E331)</f>
        <v/>
      </c>
      <c r="F331" s="30">
        <f>IF(Database!B331="","",Database!F331)</f>
        <v/>
      </c>
      <c r="G331" s="30">
        <f>IF(Database!B331="","",Database!G331)</f>
        <v/>
      </c>
      <c r="H331" s="30">
        <f>IF(Database!B331="","",Database!C331)</f>
        <v/>
      </c>
      <c r="I331" s="30">
        <f>IF(Database!B331="","",Database!H331)</f>
        <v/>
      </c>
      <c r="J331" s="31" t="n"/>
      <c r="K331" s="88" t="n"/>
      <c r="L331" s="31" t="n"/>
      <c r="M331" s="31" t="n"/>
      <c r="N331" s="31" t="n"/>
      <c r="O331" s="32" t="n"/>
    </row>
    <row r="332">
      <c r="A332" s="30">
        <f>IF(Database!B332="","",ROW()-1)</f>
        <v/>
      </c>
      <c r="B332" s="30">
        <f>IF(Database!B332="","",Database!B332)</f>
        <v/>
      </c>
      <c r="C332" s="87">
        <f>IF(Database!B332="","",Database!A332)</f>
        <v/>
      </c>
      <c r="D332" s="30">
        <f>IF(Database!B332="","",Database!D332)</f>
        <v/>
      </c>
      <c r="E332" s="30">
        <f>IF(Database!B332="","",Database!E332)</f>
        <v/>
      </c>
      <c r="F332" s="30">
        <f>IF(Database!B332="","",Database!F332)</f>
        <v/>
      </c>
      <c r="G332" s="30">
        <f>IF(Database!B332="","",Database!G332)</f>
        <v/>
      </c>
      <c r="H332" s="30">
        <f>IF(Database!B332="","",Database!C332)</f>
        <v/>
      </c>
      <c r="I332" s="30">
        <f>IF(Database!B332="","",Database!H332)</f>
        <v/>
      </c>
      <c r="J332" s="31" t="n"/>
      <c r="K332" s="88" t="n"/>
      <c r="L332" s="31" t="n"/>
      <c r="M332" s="31" t="n"/>
      <c r="N332" s="31" t="n"/>
      <c r="O332" s="32" t="n"/>
    </row>
    <row r="333">
      <c r="A333" s="30">
        <f>IF(Database!B333="","",ROW()-1)</f>
        <v/>
      </c>
      <c r="B333" s="30">
        <f>IF(Database!B333="","",Database!B333)</f>
        <v/>
      </c>
      <c r="C333" s="87">
        <f>IF(Database!B333="","",Database!A333)</f>
        <v/>
      </c>
      <c r="D333" s="30">
        <f>IF(Database!B333="","",Database!D333)</f>
        <v/>
      </c>
      <c r="E333" s="30">
        <f>IF(Database!B333="","",Database!E333)</f>
        <v/>
      </c>
      <c r="F333" s="30">
        <f>IF(Database!B333="","",Database!F333)</f>
        <v/>
      </c>
      <c r="G333" s="30">
        <f>IF(Database!B333="","",Database!G333)</f>
        <v/>
      </c>
      <c r="H333" s="30">
        <f>IF(Database!B333="","",Database!C333)</f>
        <v/>
      </c>
      <c r="I333" s="30">
        <f>IF(Database!B333="","",Database!H333)</f>
        <v/>
      </c>
      <c r="J333" s="31" t="n"/>
      <c r="K333" s="88" t="n"/>
      <c r="L333" s="31" t="n"/>
      <c r="M333" s="31" t="n"/>
      <c r="N333" s="31" t="n"/>
      <c r="O333" s="32" t="n"/>
    </row>
    <row r="334">
      <c r="A334" s="30">
        <f>IF(Database!B334="","",ROW()-1)</f>
        <v/>
      </c>
      <c r="B334" s="30">
        <f>IF(Database!B334="","",Database!B334)</f>
        <v/>
      </c>
      <c r="C334" s="87">
        <f>IF(Database!B334="","",Database!A334)</f>
        <v/>
      </c>
      <c r="D334" s="30">
        <f>IF(Database!B334="","",Database!D334)</f>
        <v/>
      </c>
      <c r="E334" s="30">
        <f>IF(Database!B334="","",Database!E334)</f>
        <v/>
      </c>
      <c r="F334" s="30">
        <f>IF(Database!B334="","",Database!F334)</f>
        <v/>
      </c>
      <c r="G334" s="30">
        <f>IF(Database!B334="","",Database!G334)</f>
        <v/>
      </c>
      <c r="H334" s="30">
        <f>IF(Database!B334="","",Database!C334)</f>
        <v/>
      </c>
      <c r="I334" s="30">
        <f>IF(Database!B334="","",Database!H334)</f>
        <v/>
      </c>
      <c r="J334" s="31" t="n"/>
      <c r="K334" s="88" t="n"/>
      <c r="L334" s="31" t="n"/>
      <c r="M334" s="31" t="n"/>
      <c r="N334" s="31" t="n"/>
      <c r="O334" s="32" t="n"/>
    </row>
    <row r="335">
      <c r="A335" s="30">
        <f>IF(Database!B335="","",ROW()-1)</f>
        <v/>
      </c>
      <c r="B335" s="30">
        <f>IF(Database!B335="","",Database!B335)</f>
        <v/>
      </c>
      <c r="C335" s="87">
        <f>IF(Database!B335="","",Database!A335)</f>
        <v/>
      </c>
      <c r="D335" s="30">
        <f>IF(Database!B335="","",Database!D335)</f>
        <v/>
      </c>
      <c r="E335" s="30">
        <f>IF(Database!B335="","",Database!E335)</f>
        <v/>
      </c>
      <c r="F335" s="30">
        <f>IF(Database!B335="","",Database!F335)</f>
        <v/>
      </c>
      <c r="G335" s="30">
        <f>IF(Database!B335="","",Database!G335)</f>
        <v/>
      </c>
      <c r="H335" s="30">
        <f>IF(Database!B335="","",Database!C335)</f>
        <v/>
      </c>
      <c r="I335" s="30">
        <f>IF(Database!B335="","",Database!H335)</f>
        <v/>
      </c>
      <c r="J335" s="31" t="n"/>
      <c r="K335" s="88" t="n"/>
      <c r="L335" s="31" t="n"/>
      <c r="M335" s="31" t="n"/>
      <c r="N335" s="31" t="n"/>
      <c r="O335" s="32" t="n"/>
    </row>
    <row r="336">
      <c r="A336" s="30">
        <f>IF(Database!B336="","",ROW()-1)</f>
        <v/>
      </c>
      <c r="B336" s="30">
        <f>IF(Database!B336="","",Database!B336)</f>
        <v/>
      </c>
      <c r="C336" s="87">
        <f>IF(Database!B336="","",Database!A336)</f>
        <v/>
      </c>
      <c r="D336" s="30">
        <f>IF(Database!B336="","",Database!D336)</f>
        <v/>
      </c>
      <c r="E336" s="30">
        <f>IF(Database!B336="","",Database!E336)</f>
        <v/>
      </c>
      <c r="F336" s="30">
        <f>IF(Database!B336="","",Database!F336)</f>
        <v/>
      </c>
      <c r="G336" s="30">
        <f>IF(Database!B336="","",Database!G336)</f>
        <v/>
      </c>
      <c r="H336" s="30">
        <f>IF(Database!B336="","",Database!C336)</f>
        <v/>
      </c>
      <c r="I336" s="30">
        <f>IF(Database!B336="","",Database!H336)</f>
        <v/>
      </c>
      <c r="J336" s="31" t="n"/>
      <c r="K336" s="88" t="n"/>
      <c r="L336" s="31" t="n"/>
      <c r="M336" s="31" t="n"/>
      <c r="N336" s="31" t="n"/>
      <c r="O336" s="32" t="n"/>
    </row>
    <row r="337">
      <c r="A337" s="30">
        <f>IF(Database!B337="","",ROW()-1)</f>
        <v/>
      </c>
      <c r="B337" s="30">
        <f>IF(Database!B337="","",Database!B337)</f>
        <v/>
      </c>
      <c r="C337" s="87">
        <f>IF(Database!B337="","",Database!A337)</f>
        <v/>
      </c>
      <c r="D337" s="30">
        <f>IF(Database!B337="","",Database!D337)</f>
        <v/>
      </c>
      <c r="E337" s="30">
        <f>IF(Database!B337="","",Database!E337)</f>
        <v/>
      </c>
      <c r="F337" s="30">
        <f>IF(Database!B337="","",Database!F337)</f>
        <v/>
      </c>
      <c r="G337" s="30">
        <f>IF(Database!B337="","",Database!G337)</f>
        <v/>
      </c>
      <c r="H337" s="30">
        <f>IF(Database!B337="","",Database!C337)</f>
        <v/>
      </c>
      <c r="I337" s="30">
        <f>IF(Database!B337="","",Database!H337)</f>
        <v/>
      </c>
      <c r="J337" s="31" t="n"/>
      <c r="K337" s="88" t="n"/>
      <c r="L337" s="31" t="n"/>
      <c r="M337" s="31" t="n"/>
      <c r="N337" s="31" t="n"/>
      <c r="O337" s="32" t="n"/>
    </row>
    <row r="338">
      <c r="A338" s="30">
        <f>IF(Database!B338="","",ROW()-1)</f>
        <v/>
      </c>
      <c r="B338" s="30">
        <f>IF(Database!B338="","",Database!B338)</f>
        <v/>
      </c>
      <c r="C338" s="87">
        <f>IF(Database!B338="","",Database!A338)</f>
        <v/>
      </c>
      <c r="D338" s="30">
        <f>IF(Database!B338="","",Database!D338)</f>
        <v/>
      </c>
      <c r="E338" s="30">
        <f>IF(Database!B338="","",Database!E338)</f>
        <v/>
      </c>
      <c r="F338" s="30">
        <f>IF(Database!B338="","",Database!F338)</f>
        <v/>
      </c>
      <c r="G338" s="30">
        <f>IF(Database!B338="","",Database!G338)</f>
        <v/>
      </c>
      <c r="H338" s="30">
        <f>IF(Database!B338="","",Database!C338)</f>
        <v/>
      </c>
      <c r="I338" s="30">
        <f>IF(Database!B338="","",Database!H338)</f>
        <v/>
      </c>
      <c r="J338" s="31" t="n"/>
      <c r="K338" s="88" t="n"/>
      <c r="L338" s="31" t="n"/>
      <c r="M338" s="31" t="n"/>
      <c r="N338" s="31" t="n"/>
      <c r="O338" s="32" t="n"/>
    </row>
    <row r="339">
      <c r="A339" s="30">
        <f>IF(Database!B339="","",ROW()-1)</f>
        <v/>
      </c>
      <c r="B339" s="30">
        <f>IF(Database!B339="","",Database!B339)</f>
        <v/>
      </c>
      <c r="C339" s="87">
        <f>IF(Database!B339="","",Database!A339)</f>
        <v/>
      </c>
      <c r="D339" s="30">
        <f>IF(Database!B339="","",Database!D339)</f>
        <v/>
      </c>
      <c r="E339" s="30">
        <f>IF(Database!B339="","",Database!E339)</f>
        <v/>
      </c>
      <c r="F339" s="30">
        <f>IF(Database!B339="","",Database!F339)</f>
        <v/>
      </c>
      <c r="G339" s="30">
        <f>IF(Database!B339="","",Database!G339)</f>
        <v/>
      </c>
      <c r="H339" s="30">
        <f>IF(Database!B339="","",Database!C339)</f>
        <v/>
      </c>
      <c r="I339" s="30">
        <f>IF(Database!B339="","",Database!H339)</f>
        <v/>
      </c>
      <c r="J339" s="31" t="n"/>
      <c r="K339" s="88" t="n"/>
      <c r="L339" s="31" t="n"/>
      <c r="M339" s="31" t="n"/>
      <c r="N339" s="31" t="n"/>
      <c r="O339" s="32" t="n"/>
    </row>
    <row r="340">
      <c r="A340" s="30">
        <f>IF(Database!B340="","",ROW()-1)</f>
        <v/>
      </c>
      <c r="B340" s="30">
        <f>IF(Database!B340="","",Database!B340)</f>
        <v/>
      </c>
      <c r="C340" s="87">
        <f>IF(Database!B340="","",Database!A340)</f>
        <v/>
      </c>
      <c r="D340" s="30">
        <f>IF(Database!B340="","",Database!D340)</f>
        <v/>
      </c>
      <c r="E340" s="30">
        <f>IF(Database!B340="","",Database!E340)</f>
        <v/>
      </c>
      <c r="F340" s="30">
        <f>IF(Database!B340="","",Database!F340)</f>
        <v/>
      </c>
      <c r="G340" s="30">
        <f>IF(Database!B340="","",Database!G340)</f>
        <v/>
      </c>
      <c r="H340" s="30">
        <f>IF(Database!B340="","",Database!C340)</f>
        <v/>
      </c>
      <c r="I340" s="30">
        <f>IF(Database!B340="","",Database!H340)</f>
        <v/>
      </c>
      <c r="J340" s="31" t="n"/>
      <c r="K340" s="88" t="n"/>
      <c r="L340" s="31" t="n"/>
      <c r="M340" s="31" t="n"/>
      <c r="N340" s="31" t="n"/>
      <c r="O340" s="32" t="n"/>
    </row>
    <row r="341">
      <c r="A341" s="30">
        <f>IF(Database!B341="","",ROW()-1)</f>
        <v/>
      </c>
      <c r="B341" s="30">
        <f>IF(Database!B341="","",Database!B341)</f>
        <v/>
      </c>
      <c r="C341" s="87">
        <f>IF(Database!B341="","",Database!A341)</f>
        <v/>
      </c>
      <c r="D341" s="30">
        <f>IF(Database!B341="","",Database!D341)</f>
        <v/>
      </c>
      <c r="E341" s="30">
        <f>IF(Database!B341="","",Database!E341)</f>
        <v/>
      </c>
      <c r="F341" s="30">
        <f>IF(Database!B341="","",Database!F341)</f>
        <v/>
      </c>
      <c r="G341" s="30">
        <f>IF(Database!B341="","",Database!G341)</f>
        <v/>
      </c>
      <c r="H341" s="30">
        <f>IF(Database!B341="","",Database!C341)</f>
        <v/>
      </c>
      <c r="I341" s="30">
        <f>IF(Database!B341="","",Database!H341)</f>
        <v/>
      </c>
      <c r="J341" s="31" t="n"/>
      <c r="K341" s="88" t="n"/>
      <c r="L341" s="31" t="n"/>
      <c r="M341" s="31" t="n"/>
      <c r="N341" s="31" t="n"/>
      <c r="O341" s="32" t="n"/>
    </row>
    <row r="342">
      <c r="A342" s="30">
        <f>IF(Database!B342="","",ROW()-1)</f>
        <v/>
      </c>
      <c r="B342" s="30">
        <f>IF(Database!B342="","",Database!B342)</f>
        <v/>
      </c>
      <c r="C342" s="87">
        <f>IF(Database!B342="","",Database!A342)</f>
        <v/>
      </c>
      <c r="D342" s="30">
        <f>IF(Database!B342="","",Database!D342)</f>
        <v/>
      </c>
      <c r="E342" s="30">
        <f>IF(Database!B342="","",Database!E342)</f>
        <v/>
      </c>
      <c r="F342" s="30">
        <f>IF(Database!B342="","",Database!F342)</f>
        <v/>
      </c>
      <c r="G342" s="30">
        <f>IF(Database!B342="","",Database!G342)</f>
        <v/>
      </c>
      <c r="H342" s="30">
        <f>IF(Database!B342="","",Database!C342)</f>
        <v/>
      </c>
      <c r="I342" s="30">
        <f>IF(Database!B342="","",Database!H342)</f>
        <v/>
      </c>
      <c r="J342" s="31" t="n"/>
      <c r="K342" s="88" t="n"/>
      <c r="L342" s="31" t="n"/>
      <c r="M342" s="31" t="n"/>
      <c r="N342" s="31" t="n"/>
      <c r="O342" s="32" t="n"/>
    </row>
    <row r="343">
      <c r="A343" s="30">
        <f>IF(Database!B343="","",ROW()-1)</f>
        <v/>
      </c>
      <c r="B343" s="30">
        <f>IF(Database!B343="","",Database!B343)</f>
        <v/>
      </c>
      <c r="C343" s="87">
        <f>IF(Database!B343="","",Database!A343)</f>
        <v/>
      </c>
      <c r="D343" s="30">
        <f>IF(Database!B343="","",Database!D343)</f>
        <v/>
      </c>
      <c r="E343" s="30">
        <f>IF(Database!B343="","",Database!E343)</f>
        <v/>
      </c>
      <c r="F343" s="30">
        <f>IF(Database!B343="","",Database!F343)</f>
        <v/>
      </c>
      <c r="G343" s="30">
        <f>IF(Database!B343="","",Database!G343)</f>
        <v/>
      </c>
      <c r="H343" s="30">
        <f>IF(Database!B343="","",Database!C343)</f>
        <v/>
      </c>
      <c r="I343" s="30">
        <f>IF(Database!B343="","",Database!H343)</f>
        <v/>
      </c>
      <c r="J343" s="31" t="n"/>
      <c r="K343" s="88" t="n"/>
      <c r="L343" s="31" t="n"/>
      <c r="M343" s="31" t="n"/>
      <c r="N343" s="31" t="n"/>
      <c r="O343" s="32" t="n"/>
    </row>
    <row r="344">
      <c r="A344" s="30">
        <f>IF(Database!B344="","",ROW()-1)</f>
        <v/>
      </c>
      <c r="B344" s="30">
        <f>IF(Database!B344="","",Database!B344)</f>
        <v/>
      </c>
      <c r="C344" s="87">
        <f>IF(Database!B344="","",Database!A344)</f>
        <v/>
      </c>
      <c r="D344" s="30">
        <f>IF(Database!B344="","",Database!D344)</f>
        <v/>
      </c>
      <c r="E344" s="30">
        <f>IF(Database!B344="","",Database!E344)</f>
        <v/>
      </c>
      <c r="F344" s="30">
        <f>IF(Database!B344="","",Database!F344)</f>
        <v/>
      </c>
      <c r="G344" s="30">
        <f>IF(Database!B344="","",Database!G344)</f>
        <v/>
      </c>
      <c r="H344" s="30">
        <f>IF(Database!B344="","",Database!C344)</f>
        <v/>
      </c>
      <c r="I344" s="30">
        <f>IF(Database!B344="","",Database!H344)</f>
        <v/>
      </c>
      <c r="J344" s="31" t="n"/>
      <c r="K344" s="88" t="n"/>
      <c r="L344" s="31" t="n"/>
      <c r="M344" s="31" t="n"/>
      <c r="N344" s="31" t="n"/>
      <c r="O344" s="32" t="n"/>
    </row>
    <row r="345">
      <c r="A345" s="30">
        <f>IF(Database!B345="","",ROW()-1)</f>
        <v/>
      </c>
      <c r="B345" s="30">
        <f>IF(Database!B345="","",Database!B345)</f>
        <v/>
      </c>
      <c r="C345" s="87">
        <f>IF(Database!B345="","",Database!A345)</f>
        <v/>
      </c>
      <c r="D345" s="30">
        <f>IF(Database!B345="","",Database!D345)</f>
        <v/>
      </c>
      <c r="E345" s="30">
        <f>IF(Database!B345="","",Database!E345)</f>
        <v/>
      </c>
      <c r="F345" s="30">
        <f>IF(Database!B345="","",Database!F345)</f>
        <v/>
      </c>
      <c r="G345" s="30">
        <f>IF(Database!B345="","",Database!G345)</f>
        <v/>
      </c>
      <c r="H345" s="30">
        <f>IF(Database!B345="","",Database!C345)</f>
        <v/>
      </c>
      <c r="I345" s="30">
        <f>IF(Database!B345="","",Database!H345)</f>
        <v/>
      </c>
      <c r="J345" s="31" t="n"/>
      <c r="K345" s="88" t="n"/>
      <c r="L345" s="31" t="n"/>
      <c r="M345" s="31" t="n"/>
      <c r="N345" s="31" t="n"/>
      <c r="O345" s="32" t="n"/>
    </row>
    <row r="346">
      <c r="A346" s="30">
        <f>IF(Database!B346="","",ROW()-1)</f>
        <v/>
      </c>
      <c r="B346" s="30">
        <f>IF(Database!B346="","",Database!B346)</f>
        <v/>
      </c>
      <c r="C346" s="87">
        <f>IF(Database!B346="","",Database!A346)</f>
        <v/>
      </c>
      <c r="D346" s="30">
        <f>IF(Database!B346="","",Database!D346)</f>
        <v/>
      </c>
      <c r="E346" s="30">
        <f>IF(Database!B346="","",Database!E346)</f>
        <v/>
      </c>
      <c r="F346" s="30">
        <f>IF(Database!B346="","",Database!F346)</f>
        <v/>
      </c>
      <c r="G346" s="30">
        <f>IF(Database!B346="","",Database!G346)</f>
        <v/>
      </c>
      <c r="H346" s="30">
        <f>IF(Database!B346="","",Database!C346)</f>
        <v/>
      </c>
      <c r="I346" s="30">
        <f>IF(Database!B346="","",Database!H346)</f>
        <v/>
      </c>
      <c r="J346" s="31" t="n"/>
      <c r="K346" s="88" t="n"/>
      <c r="L346" s="31" t="n"/>
      <c r="M346" s="31" t="n"/>
      <c r="N346" s="31" t="n"/>
      <c r="O346" s="32" t="n"/>
    </row>
    <row r="347">
      <c r="A347" s="30">
        <f>IF(Database!B347="","",ROW()-1)</f>
        <v/>
      </c>
      <c r="B347" s="30">
        <f>IF(Database!B347="","",Database!B347)</f>
        <v/>
      </c>
      <c r="C347" s="87">
        <f>IF(Database!B347="","",Database!A347)</f>
        <v/>
      </c>
      <c r="D347" s="30">
        <f>IF(Database!B347="","",Database!D347)</f>
        <v/>
      </c>
      <c r="E347" s="30">
        <f>IF(Database!B347="","",Database!E347)</f>
        <v/>
      </c>
      <c r="F347" s="30">
        <f>IF(Database!B347="","",Database!F347)</f>
        <v/>
      </c>
      <c r="G347" s="30">
        <f>IF(Database!B347="","",Database!G347)</f>
        <v/>
      </c>
      <c r="H347" s="30">
        <f>IF(Database!B347="","",Database!C347)</f>
        <v/>
      </c>
      <c r="I347" s="30">
        <f>IF(Database!B347="","",Database!H347)</f>
        <v/>
      </c>
      <c r="J347" s="31" t="n"/>
      <c r="K347" s="88" t="n"/>
      <c r="L347" s="31" t="n"/>
      <c r="M347" s="31" t="n"/>
      <c r="N347" s="31" t="n"/>
      <c r="O347" s="32" t="n"/>
    </row>
    <row r="348">
      <c r="A348" s="30">
        <f>IF(Database!B348="","",ROW()-1)</f>
        <v/>
      </c>
      <c r="B348" s="30">
        <f>IF(Database!B348="","",Database!B348)</f>
        <v/>
      </c>
      <c r="C348" s="87">
        <f>IF(Database!B348="","",Database!A348)</f>
        <v/>
      </c>
      <c r="D348" s="30">
        <f>IF(Database!B348="","",Database!D348)</f>
        <v/>
      </c>
      <c r="E348" s="30">
        <f>IF(Database!B348="","",Database!E348)</f>
        <v/>
      </c>
      <c r="F348" s="30">
        <f>IF(Database!B348="","",Database!F348)</f>
        <v/>
      </c>
      <c r="G348" s="30">
        <f>IF(Database!B348="","",Database!G348)</f>
        <v/>
      </c>
      <c r="H348" s="30">
        <f>IF(Database!B348="","",Database!C348)</f>
        <v/>
      </c>
      <c r="I348" s="30">
        <f>IF(Database!B348="","",Database!H348)</f>
        <v/>
      </c>
      <c r="J348" s="31" t="n"/>
      <c r="K348" s="88" t="n"/>
      <c r="L348" s="31" t="n"/>
      <c r="M348" s="31" t="n"/>
      <c r="N348" s="31" t="n"/>
      <c r="O348" s="32" t="n"/>
    </row>
    <row r="349">
      <c r="A349" s="30">
        <f>IF(Database!B349="","",ROW()-1)</f>
        <v/>
      </c>
      <c r="B349" s="30">
        <f>IF(Database!B349="","",Database!B349)</f>
        <v/>
      </c>
      <c r="C349" s="87">
        <f>IF(Database!B349="","",Database!A349)</f>
        <v/>
      </c>
      <c r="D349" s="30">
        <f>IF(Database!B349="","",Database!D349)</f>
        <v/>
      </c>
      <c r="E349" s="30">
        <f>IF(Database!B349="","",Database!E349)</f>
        <v/>
      </c>
      <c r="F349" s="30">
        <f>IF(Database!B349="","",Database!F349)</f>
        <v/>
      </c>
      <c r="G349" s="30">
        <f>IF(Database!B349="","",Database!G349)</f>
        <v/>
      </c>
      <c r="H349" s="30">
        <f>IF(Database!B349="","",Database!C349)</f>
        <v/>
      </c>
      <c r="I349" s="30">
        <f>IF(Database!B349="","",Database!H349)</f>
        <v/>
      </c>
      <c r="J349" s="31" t="n"/>
      <c r="K349" s="88" t="n"/>
      <c r="L349" s="31" t="n"/>
      <c r="M349" s="31" t="n"/>
      <c r="N349" s="31" t="n"/>
      <c r="O349" s="32" t="n"/>
    </row>
    <row r="350">
      <c r="A350" s="30">
        <f>IF(Database!B350="","",ROW()-1)</f>
        <v/>
      </c>
      <c r="B350" s="30">
        <f>IF(Database!B350="","",Database!B350)</f>
        <v/>
      </c>
      <c r="C350" s="87">
        <f>IF(Database!B350="","",Database!A350)</f>
        <v/>
      </c>
      <c r="D350" s="30">
        <f>IF(Database!B350="","",Database!D350)</f>
        <v/>
      </c>
      <c r="E350" s="30">
        <f>IF(Database!B350="","",Database!E350)</f>
        <v/>
      </c>
      <c r="F350" s="30">
        <f>IF(Database!B350="","",Database!F350)</f>
        <v/>
      </c>
      <c r="G350" s="30">
        <f>IF(Database!B350="","",Database!G350)</f>
        <v/>
      </c>
      <c r="H350" s="30">
        <f>IF(Database!B350="","",Database!C350)</f>
        <v/>
      </c>
      <c r="I350" s="30">
        <f>IF(Database!B350="","",Database!H350)</f>
        <v/>
      </c>
      <c r="J350" s="31" t="n"/>
      <c r="K350" s="88" t="n"/>
      <c r="L350" s="31" t="n"/>
      <c r="M350" s="31" t="n"/>
      <c r="N350" s="31" t="n"/>
      <c r="O350" s="32" t="n"/>
    </row>
    <row r="351">
      <c r="A351" s="30">
        <f>IF(Database!B351="","",ROW()-1)</f>
        <v/>
      </c>
      <c r="B351" s="30">
        <f>IF(Database!B351="","",Database!B351)</f>
        <v/>
      </c>
      <c r="C351" s="87">
        <f>IF(Database!B351="","",Database!A351)</f>
        <v/>
      </c>
      <c r="D351" s="30">
        <f>IF(Database!B351="","",Database!D351)</f>
        <v/>
      </c>
      <c r="E351" s="30">
        <f>IF(Database!B351="","",Database!E351)</f>
        <v/>
      </c>
      <c r="F351" s="30">
        <f>IF(Database!B351="","",Database!F351)</f>
        <v/>
      </c>
      <c r="G351" s="30">
        <f>IF(Database!B351="","",Database!G351)</f>
        <v/>
      </c>
      <c r="H351" s="30">
        <f>IF(Database!B351="","",Database!C351)</f>
        <v/>
      </c>
      <c r="I351" s="30">
        <f>IF(Database!B351="","",Database!H351)</f>
        <v/>
      </c>
      <c r="J351" s="31" t="n"/>
      <c r="K351" s="88" t="n"/>
      <c r="L351" s="31" t="n"/>
      <c r="M351" s="31" t="n"/>
      <c r="N351" s="31" t="n"/>
      <c r="O351" s="32" t="n"/>
    </row>
    <row r="352">
      <c r="A352" s="30">
        <f>IF(Database!B352="","",ROW()-1)</f>
        <v/>
      </c>
      <c r="B352" s="30">
        <f>IF(Database!B352="","",Database!B352)</f>
        <v/>
      </c>
      <c r="C352" s="87">
        <f>IF(Database!B352="","",Database!A352)</f>
        <v/>
      </c>
      <c r="D352" s="30">
        <f>IF(Database!B352="","",Database!D352)</f>
        <v/>
      </c>
      <c r="E352" s="30">
        <f>IF(Database!B352="","",Database!E352)</f>
        <v/>
      </c>
      <c r="F352" s="30">
        <f>IF(Database!B352="","",Database!F352)</f>
        <v/>
      </c>
      <c r="G352" s="30">
        <f>IF(Database!B352="","",Database!G352)</f>
        <v/>
      </c>
      <c r="H352" s="30">
        <f>IF(Database!B352="","",Database!C352)</f>
        <v/>
      </c>
      <c r="I352" s="30">
        <f>IF(Database!B352="","",Database!H352)</f>
        <v/>
      </c>
      <c r="J352" s="31" t="n"/>
      <c r="K352" s="88" t="n"/>
      <c r="L352" s="31" t="n"/>
      <c r="M352" s="31" t="n"/>
      <c r="N352" s="31" t="n"/>
      <c r="O352" s="32" t="n"/>
    </row>
    <row r="353">
      <c r="A353" s="30">
        <f>IF(Database!B353="","",ROW()-1)</f>
        <v/>
      </c>
      <c r="B353" s="30">
        <f>IF(Database!B353="","",Database!B353)</f>
        <v/>
      </c>
      <c r="C353" s="87">
        <f>IF(Database!B353="","",Database!A353)</f>
        <v/>
      </c>
      <c r="D353" s="30">
        <f>IF(Database!B353="","",Database!D353)</f>
        <v/>
      </c>
      <c r="E353" s="30">
        <f>IF(Database!B353="","",Database!E353)</f>
        <v/>
      </c>
      <c r="F353" s="30">
        <f>IF(Database!B353="","",Database!F353)</f>
        <v/>
      </c>
      <c r="G353" s="30">
        <f>IF(Database!B353="","",Database!G353)</f>
        <v/>
      </c>
      <c r="H353" s="30">
        <f>IF(Database!B353="","",Database!C353)</f>
        <v/>
      </c>
      <c r="I353" s="30">
        <f>IF(Database!B353="","",Database!H353)</f>
        <v/>
      </c>
      <c r="J353" s="31" t="n"/>
      <c r="K353" s="88" t="n"/>
      <c r="L353" s="31" t="n"/>
      <c r="M353" s="31" t="n"/>
      <c r="N353" s="31" t="n"/>
      <c r="O353" s="32" t="n"/>
    </row>
    <row r="354">
      <c r="A354" s="30">
        <f>IF(Database!B354="","",ROW()-1)</f>
        <v/>
      </c>
      <c r="B354" s="30">
        <f>IF(Database!B354="","",Database!B354)</f>
        <v/>
      </c>
      <c r="C354" s="87">
        <f>IF(Database!B354="","",Database!A354)</f>
        <v/>
      </c>
      <c r="D354" s="30">
        <f>IF(Database!B354="","",Database!D354)</f>
        <v/>
      </c>
      <c r="E354" s="30">
        <f>IF(Database!B354="","",Database!E354)</f>
        <v/>
      </c>
      <c r="F354" s="30">
        <f>IF(Database!B354="","",Database!F354)</f>
        <v/>
      </c>
      <c r="G354" s="30">
        <f>IF(Database!B354="","",Database!G354)</f>
        <v/>
      </c>
      <c r="H354" s="30">
        <f>IF(Database!B354="","",Database!C354)</f>
        <v/>
      </c>
      <c r="I354" s="30">
        <f>IF(Database!B354="","",Database!H354)</f>
        <v/>
      </c>
      <c r="J354" s="31" t="n"/>
      <c r="K354" s="88" t="n"/>
      <c r="L354" s="31" t="n"/>
      <c r="M354" s="31" t="n"/>
      <c r="N354" s="31" t="n"/>
      <c r="O354" s="32" t="n"/>
    </row>
    <row r="355">
      <c r="A355" s="30">
        <f>IF(Database!B355="","",ROW()-1)</f>
        <v/>
      </c>
      <c r="B355" s="30">
        <f>IF(Database!B355="","",Database!B355)</f>
        <v/>
      </c>
      <c r="C355" s="87">
        <f>IF(Database!B355="","",Database!A355)</f>
        <v/>
      </c>
      <c r="D355" s="30">
        <f>IF(Database!B355="","",Database!D355)</f>
        <v/>
      </c>
      <c r="E355" s="30">
        <f>IF(Database!B355="","",Database!E355)</f>
        <v/>
      </c>
      <c r="F355" s="30">
        <f>IF(Database!B355="","",Database!F355)</f>
        <v/>
      </c>
      <c r="G355" s="30">
        <f>IF(Database!B355="","",Database!G355)</f>
        <v/>
      </c>
      <c r="H355" s="30">
        <f>IF(Database!B355="","",Database!C355)</f>
        <v/>
      </c>
      <c r="I355" s="30">
        <f>IF(Database!B355="","",Database!H355)</f>
        <v/>
      </c>
      <c r="J355" s="31" t="n"/>
      <c r="K355" s="88" t="n"/>
      <c r="L355" s="31" t="n"/>
      <c r="M355" s="31" t="n"/>
      <c r="N355" s="31" t="n"/>
      <c r="O355" s="32" t="n"/>
    </row>
    <row r="356">
      <c r="A356" s="30">
        <f>IF(Database!B356="","",ROW()-1)</f>
        <v/>
      </c>
      <c r="B356" s="30">
        <f>IF(Database!B356="","",Database!B356)</f>
        <v/>
      </c>
      <c r="C356" s="87">
        <f>IF(Database!B356="","",Database!A356)</f>
        <v/>
      </c>
      <c r="D356" s="30">
        <f>IF(Database!B356="","",Database!D356)</f>
        <v/>
      </c>
      <c r="E356" s="30">
        <f>IF(Database!B356="","",Database!E356)</f>
        <v/>
      </c>
      <c r="F356" s="30">
        <f>IF(Database!B356="","",Database!F356)</f>
        <v/>
      </c>
      <c r="G356" s="30">
        <f>IF(Database!B356="","",Database!G356)</f>
        <v/>
      </c>
      <c r="H356" s="30">
        <f>IF(Database!B356="","",Database!C356)</f>
        <v/>
      </c>
      <c r="I356" s="30">
        <f>IF(Database!B356="","",Database!H356)</f>
        <v/>
      </c>
      <c r="J356" s="31" t="n"/>
      <c r="K356" s="88" t="n"/>
      <c r="L356" s="31" t="n"/>
      <c r="M356" s="31" t="n"/>
      <c r="N356" s="31" t="n"/>
      <c r="O356" s="32" t="n"/>
    </row>
    <row r="357">
      <c r="A357" s="30">
        <f>IF(Database!B357="","",ROW()-1)</f>
        <v/>
      </c>
      <c r="B357" s="30">
        <f>IF(Database!B357="","",Database!B357)</f>
        <v/>
      </c>
      <c r="C357" s="87">
        <f>IF(Database!B357="","",Database!A357)</f>
        <v/>
      </c>
      <c r="D357" s="30">
        <f>IF(Database!B357="","",Database!D357)</f>
        <v/>
      </c>
      <c r="E357" s="30">
        <f>IF(Database!B357="","",Database!E357)</f>
        <v/>
      </c>
      <c r="F357" s="30">
        <f>IF(Database!B357="","",Database!F357)</f>
        <v/>
      </c>
      <c r="G357" s="30">
        <f>IF(Database!B357="","",Database!G357)</f>
        <v/>
      </c>
      <c r="H357" s="30">
        <f>IF(Database!B357="","",Database!C357)</f>
        <v/>
      </c>
      <c r="I357" s="30">
        <f>IF(Database!B357="","",Database!H357)</f>
        <v/>
      </c>
      <c r="J357" s="31" t="n"/>
      <c r="K357" s="88" t="n"/>
      <c r="L357" s="31" t="n"/>
      <c r="M357" s="31" t="n"/>
      <c r="N357" s="31" t="n"/>
      <c r="O357" s="32" t="n"/>
    </row>
    <row r="358">
      <c r="A358" s="30">
        <f>IF(Database!B358="","",ROW()-1)</f>
        <v/>
      </c>
      <c r="B358" s="30">
        <f>IF(Database!B358="","",Database!B358)</f>
        <v/>
      </c>
      <c r="C358" s="87">
        <f>IF(Database!B358="","",Database!A358)</f>
        <v/>
      </c>
      <c r="D358" s="30">
        <f>IF(Database!B358="","",Database!D358)</f>
        <v/>
      </c>
      <c r="E358" s="30">
        <f>IF(Database!B358="","",Database!E358)</f>
        <v/>
      </c>
      <c r="F358" s="30">
        <f>IF(Database!B358="","",Database!F358)</f>
        <v/>
      </c>
      <c r="G358" s="30">
        <f>IF(Database!B358="","",Database!G358)</f>
        <v/>
      </c>
      <c r="H358" s="30">
        <f>IF(Database!B358="","",Database!C358)</f>
        <v/>
      </c>
      <c r="I358" s="30">
        <f>IF(Database!B358="","",Database!H358)</f>
        <v/>
      </c>
      <c r="J358" s="31" t="n"/>
      <c r="K358" s="88" t="n"/>
      <c r="L358" s="31" t="n"/>
      <c r="M358" s="31" t="n"/>
      <c r="N358" s="31" t="n"/>
      <c r="O358" s="32" t="n"/>
    </row>
    <row r="359">
      <c r="A359" s="30">
        <f>IF(Database!B359="","",ROW()-1)</f>
        <v/>
      </c>
      <c r="B359" s="30">
        <f>IF(Database!B359="","",Database!B359)</f>
        <v/>
      </c>
      <c r="C359" s="87">
        <f>IF(Database!B359="","",Database!A359)</f>
        <v/>
      </c>
      <c r="D359" s="30">
        <f>IF(Database!B359="","",Database!D359)</f>
        <v/>
      </c>
      <c r="E359" s="30">
        <f>IF(Database!B359="","",Database!E359)</f>
        <v/>
      </c>
      <c r="F359" s="30">
        <f>IF(Database!B359="","",Database!F359)</f>
        <v/>
      </c>
      <c r="G359" s="30">
        <f>IF(Database!B359="","",Database!G359)</f>
        <v/>
      </c>
      <c r="H359" s="30">
        <f>IF(Database!B359="","",Database!C359)</f>
        <v/>
      </c>
      <c r="I359" s="30">
        <f>IF(Database!B359="","",Database!H359)</f>
        <v/>
      </c>
      <c r="J359" s="31" t="n"/>
      <c r="K359" s="88" t="n"/>
      <c r="L359" s="31" t="n"/>
      <c r="M359" s="31" t="n"/>
      <c r="N359" s="31" t="n"/>
      <c r="O359" s="32" t="n"/>
    </row>
    <row r="360">
      <c r="A360" s="30">
        <f>IF(Database!B360="","",ROW()-1)</f>
        <v/>
      </c>
      <c r="B360" s="30">
        <f>IF(Database!B360="","",Database!B360)</f>
        <v/>
      </c>
      <c r="C360" s="87">
        <f>IF(Database!B360="","",Database!A360)</f>
        <v/>
      </c>
      <c r="D360" s="30">
        <f>IF(Database!B360="","",Database!D360)</f>
        <v/>
      </c>
      <c r="E360" s="30">
        <f>IF(Database!B360="","",Database!E360)</f>
        <v/>
      </c>
      <c r="F360" s="30">
        <f>IF(Database!B360="","",Database!F360)</f>
        <v/>
      </c>
      <c r="G360" s="30">
        <f>IF(Database!B360="","",Database!G360)</f>
        <v/>
      </c>
      <c r="H360" s="30">
        <f>IF(Database!B360="","",Database!C360)</f>
        <v/>
      </c>
      <c r="I360" s="30">
        <f>IF(Database!B360="","",Database!H360)</f>
        <v/>
      </c>
      <c r="J360" s="31" t="n"/>
      <c r="K360" s="88" t="n"/>
      <c r="L360" s="31" t="n"/>
      <c r="M360" s="31" t="n"/>
      <c r="N360" s="31" t="n"/>
      <c r="O360" s="32" t="n"/>
    </row>
    <row r="361">
      <c r="A361" s="30">
        <f>IF(Database!B361="","",ROW()-1)</f>
        <v/>
      </c>
      <c r="B361" s="30">
        <f>IF(Database!B361="","",Database!B361)</f>
        <v/>
      </c>
      <c r="C361" s="87">
        <f>IF(Database!B361="","",Database!A361)</f>
        <v/>
      </c>
      <c r="D361" s="30">
        <f>IF(Database!B361="","",Database!D361)</f>
        <v/>
      </c>
      <c r="E361" s="30">
        <f>IF(Database!B361="","",Database!E361)</f>
        <v/>
      </c>
      <c r="F361" s="30">
        <f>IF(Database!B361="","",Database!F361)</f>
        <v/>
      </c>
      <c r="G361" s="30">
        <f>IF(Database!B361="","",Database!G361)</f>
        <v/>
      </c>
      <c r="H361" s="30">
        <f>IF(Database!B361="","",Database!C361)</f>
        <v/>
      </c>
      <c r="I361" s="30">
        <f>IF(Database!B361="","",Database!H361)</f>
        <v/>
      </c>
      <c r="J361" s="31" t="n"/>
      <c r="K361" s="88" t="n"/>
      <c r="L361" s="31" t="n"/>
      <c r="M361" s="31" t="n"/>
      <c r="N361" s="31" t="n"/>
      <c r="O361" s="32" t="n"/>
    </row>
    <row r="362">
      <c r="A362" s="30">
        <f>IF(Database!B362="","",ROW()-1)</f>
        <v/>
      </c>
      <c r="B362" s="30">
        <f>IF(Database!B362="","",Database!B362)</f>
        <v/>
      </c>
      <c r="C362" s="87">
        <f>IF(Database!B362="","",Database!A362)</f>
        <v/>
      </c>
      <c r="D362" s="30">
        <f>IF(Database!B362="","",Database!D362)</f>
        <v/>
      </c>
      <c r="E362" s="30">
        <f>IF(Database!B362="","",Database!E362)</f>
        <v/>
      </c>
      <c r="F362" s="30">
        <f>IF(Database!B362="","",Database!F362)</f>
        <v/>
      </c>
      <c r="G362" s="30">
        <f>IF(Database!B362="","",Database!G362)</f>
        <v/>
      </c>
      <c r="H362" s="30">
        <f>IF(Database!B362="","",Database!C362)</f>
        <v/>
      </c>
      <c r="I362" s="30">
        <f>IF(Database!B362="","",Database!H362)</f>
        <v/>
      </c>
      <c r="J362" s="31" t="n"/>
      <c r="K362" s="88" t="n"/>
      <c r="L362" s="31" t="n"/>
      <c r="M362" s="31" t="n"/>
      <c r="N362" s="31" t="n"/>
      <c r="O362" s="32" t="n"/>
    </row>
    <row r="363">
      <c r="A363" s="30">
        <f>IF(Database!B363="","",ROW()-1)</f>
        <v/>
      </c>
      <c r="B363" s="30">
        <f>IF(Database!B363="","",Database!B363)</f>
        <v/>
      </c>
      <c r="C363" s="87">
        <f>IF(Database!B363="","",Database!A363)</f>
        <v/>
      </c>
      <c r="D363" s="30">
        <f>IF(Database!B363="","",Database!D363)</f>
        <v/>
      </c>
      <c r="E363" s="30">
        <f>IF(Database!B363="","",Database!E363)</f>
        <v/>
      </c>
      <c r="F363" s="30">
        <f>IF(Database!B363="","",Database!F363)</f>
        <v/>
      </c>
      <c r="G363" s="30">
        <f>IF(Database!B363="","",Database!G363)</f>
        <v/>
      </c>
      <c r="H363" s="30">
        <f>IF(Database!B363="","",Database!C363)</f>
        <v/>
      </c>
      <c r="I363" s="30">
        <f>IF(Database!B363="","",Database!H363)</f>
        <v/>
      </c>
      <c r="J363" s="31" t="n"/>
      <c r="K363" s="88" t="n"/>
      <c r="L363" s="31" t="n"/>
      <c r="M363" s="31" t="n"/>
      <c r="N363" s="31" t="n"/>
      <c r="O363" s="32" t="n"/>
    </row>
    <row r="364">
      <c r="A364" s="30">
        <f>IF(Database!B364="","",ROW()-1)</f>
        <v/>
      </c>
      <c r="B364" s="30">
        <f>IF(Database!B364="","",Database!B364)</f>
        <v/>
      </c>
      <c r="C364" s="87">
        <f>IF(Database!B364="","",Database!A364)</f>
        <v/>
      </c>
      <c r="D364" s="30">
        <f>IF(Database!B364="","",Database!D364)</f>
        <v/>
      </c>
      <c r="E364" s="30">
        <f>IF(Database!B364="","",Database!E364)</f>
        <v/>
      </c>
      <c r="F364" s="30">
        <f>IF(Database!B364="","",Database!F364)</f>
        <v/>
      </c>
      <c r="G364" s="30">
        <f>IF(Database!B364="","",Database!G364)</f>
        <v/>
      </c>
      <c r="H364" s="30">
        <f>IF(Database!B364="","",Database!C364)</f>
        <v/>
      </c>
      <c r="I364" s="30">
        <f>IF(Database!B364="","",Database!H364)</f>
        <v/>
      </c>
      <c r="J364" s="31" t="n"/>
      <c r="K364" s="88" t="n"/>
      <c r="L364" s="31" t="n"/>
      <c r="M364" s="31" t="n"/>
      <c r="N364" s="31" t="n"/>
      <c r="O364" s="32" t="n"/>
    </row>
    <row r="365">
      <c r="A365" s="30">
        <f>IF(Database!B365="","",ROW()-1)</f>
        <v/>
      </c>
      <c r="B365" s="30">
        <f>IF(Database!B365="","",Database!B365)</f>
        <v/>
      </c>
      <c r="C365" s="87">
        <f>IF(Database!B365="","",Database!A365)</f>
        <v/>
      </c>
      <c r="D365" s="30">
        <f>IF(Database!B365="","",Database!D365)</f>
        <v/>
      </c>
      <c r="E365" s="30">
        <f>IF(Database!B365="","",Database!E365)</f>
        <v/>
      </c>
      <c r="F365" s="30">
        <f>IF(Database!B365="","",Database!F365)</f>
        <v/>
      </c>
      <c r="G365" s="30">
        <f>IF(Database!B365="","",Database!G365)</f>
        <v/>
      </c>
      <c r="H365" s="30">
        <f>IF(Database!B365="","",Database!C365)</f>
        <v/>
      </c>
      <c r="I365" s="30">
        <f>IF(Database!B365="","",Database!H365)</f>
        <v/>
      </c>
      <c r="J365" s="31" t="n"/>
      <c r="K365" s="88" t="n"/>
      <c r="L365" s="31" t="n"/>
      <c r="M365" s="31" t="n"/>
      <c r="N365" s="31" t="n"/>
      <c r="O365" s="32" t="n"/>
    </row>
    <row r="366">
      <c r="A366" s="30">
        <f>IF(Database!B366="","",ROW()-1)</f>
        <v/>
      </c>
      <c r="B366" s="30">
        <f>IF(Database!B366="","",Database!B366)</f>
        <v/>
      </c>
      <c r="C366" s="87">
        <f>IF(Database!B366="","",Database!A366)</f>
        <v/>
      </c>
      <c r="D366" s="30">
        <f>IF(Database!B366="","",Database!D366)</f>
        <v/>
      </c>
      <c r="E366" s="30">
        <f>IF(Database!B366="","",Database!E366)</f>
        <v/>
      </c>
      <c r="F366" s="30">
        <f>IF(Database!B366="","",Database!F366)</f>
        <v/>
      </c>
      <c r="G366" s="30">
        <f>IF(Database!B366="","",Database!G366)</f>
        <v/>
      </c>
      <c r="H366" s="30">
        <f>IF(Database!B366="","",Database!C366)</f>
        <v/>
      </c>
      <c r="I366" s="30">
        <f>IF(Database!B366="","",Database!H366)</f>
        <v/>
      </c>
      <c r="J366" s="31" t="n"/>
      <c r="K366" s="88" t="n"/>
      <c r="L366" s="31" t="n"/>
      <c r="M366" s="31" t="n"/>
      <c r="N366" s="31" t="n"/>
      <c r="O366" s="32" t="n"/>
    </row>
    <row r="367">
      <c r="A367" s="30">
        <f>IF(Database!B367="","",ROW()-1)</f>
        <v/>
      </c>
      <c r="B367" s="30">
        <f>IF(Database!B367="","",Database!B367)</f>
        <v/>
      </c>
      <c r="C367" s="87">
        <f>IF(Database!B367="","",Database!A367)</f>
        <v/>
      </c>
      <c r="D367" s="30">
        <f>IF(Database!B367="","",Database!D367)</f>
        <v/>
      </c>
      <c r="E367" s="30">
        <f>IF(Database!B367="","",Database!E367)</f>
        <v/>
      </c>
      <c r="F367" s="30">
        <f>IF(Database!B367="","",Database!F367)</f>
        <v/>
      </c>
      <c r="G367" s="30">
        <f>IF(Database!B367="","",Database!G367)</f>
        <v/>
      </c>
      <c r="H367" s="30">
        <f>IF(Database!B367="","",Database!C367)</f>
        <v/>
      </c>
      <c r="I367" s="30">
        <f>IF(Database!B367="","",Database!H367)</f>
        <v/>
      </c>
      <c r="J367" s="31" t="n"/>
      <c r="K367" s="88" t="n"/>
      <c r="L367" s="31" t="n"/>
      <c r="M367" s="31" t="n"/>
      <c r="N367" s="31" t="n"/>
      <c r="O367" s="32" t="n"/>
    </row>
    <row r="368">
      <c r="A368" s="30">
        <f>IF(Database!B368="","",ROW()-1)</f>
        <v/>
      </c>
      <c r="B368" s="30">
        <f>IF(Database!B368="","",Database!B368)</f>
        <v/>
      </c>
      <c r="C368" s="87">
        <f>IF(Database!B368="","",Database!A368)</f>
        <v/>
      </c>
      <c r="D368" s="30">
        <f>IF(Database!B368="","",Database!D368)</f>
        <v/>
      </c>
      <c r="E368" s="30">
        <f>IF(Database!B368="","",Database!E368)</f>
        <v/>
      </c>
      <c r="F368" s="30">
        <f>IF(Database!B368="","",Database!F368)</f>
        <v/>
      </c>
      <c r="G368" s="30">
        <f>IF(Database!B368="","",Database!G368)</f>
        <v/>
      </c>
      <c r="H368" s="30">
        <f>IF(Database!B368="","",Database!C368)</f>
        <v/>
      </c>
      <c r="I368" s="30">
        <f>IF(Database!B368="","",Database!H368)</f>
        <v/>
      </c>
      <c r="J368" s="31" t="n"/>
      <c r="K368" s="88" t="n"/>
      <c r="L368" s="31" t="n"/>
      <c r="M368" s="31" t="n"/>
      <c r="N368" s="31" t="n"/>
      <c r="O368" s="32" t="n"/>
    </row>
    <row r="369">
      <c r="A369" s="30">
        <f>IF(Database!B369="","",ROW()-1)</f>
        <v/>
      </c>
      <c r="B369" s="30">
        <f>IF(Database!B369="","",Database!B369)</f>
        <v/>
      </c>
      <c r="C369" s="87">
        <f>IF(Database!B369="","",Database!A369)</f>
        <v/>
      </c>
      <c r="D369" s="30">
        <f>IF(Database!B369="","",Database!D369)</f>
        <v/>
      </c>
      <c r="E369" s="30">
        <f>IF(Database!B369="","",Database!E369)</f>
        <v/>
      </c>
      <c r="F369" s="30">
        <f>IF(Database!B369="","",Database!F369)</f>
        <v/>
      </c>
      <c r="G369" s="30">
        <f>IF(Database!B369="","",Database!G369)</f>
        <v/>
      </c>
      <c r="H369" s="30">
        <f>IF(Database!B369="","",Database!C369)</f>
        <v/>
      </c>
      <c r="I369" s="30">
        <f>IF(Database!B369="","",Database!H369)</f>
        <v/>
      </c>
      <c r="J369" s="31" t="n"/>
      <c r="K369" s="88" t="n"/>
      <c r="L369" s="31" t="n"/>
      <c r="M369" s="31" t="n"/>
      <c r="N369" s="31" t="n"/>
      <c r="O369" s="32" t="n"/>
    </row>
    <row r="370">
      <c r="A370" s="30">
        <f>IF(Database!B370="","",ROW()-1)</f>
        <v/>
      </c>
      <c r="B370" s="30">
        <f>IF(Database!B370="","",Database!B370)</f>
        <v/>
      </c>
      <c r="C370" s="87">
        <f>IF(Database!B370="","",Database!A370)</f>
        <v/>
      </c>
      <c r="D370" s="30">
        <f>IF(Database!B370="","",Database!D370)</f>
        <v/>
      </c>
      <c r="E370" s="30">
        <f>IF(Database!B370="","",Database!E370)</f>
        <v/>
      </c>
      <c r="F370" s="30">
        <f>IF(Database!B370="","",Database!F370)</f>
        <v/>
      </c>
      <c r="G370" s="30">
        <f>IF(Database!B370="","",Database!G370)</f>
        <v/>
      </c>
      <c r="H370" s="30">
        <f>IF(Database!B370="","",Database!C370)</f>
        <v/>
      </c>
      <c r="I370" s="30">
        <f>IF(Database!B370="","",Database!H370)</f>
        <v/>
      </c>
      <c r="J370" s="31" t="n"/>
      <c r="K370" s="88" t="n"/>
      <c r="L370" s="31" t="n"/>
      <c r="M370" s="31" t="n"/>
      <c r="N370" s="31" t="n"/>
      <c r="O370" s="32" t="n"/>
    </row>
    <row r="371">
      <c r="A371" s="30">
        <f>IF(Database!B371="","",ROW()-1)</f>
        <v/>
      </c>
      <c r="B371" s="30">
        <f>IF(Database!B371="","",Database!B371)</f>
        <v/>
      </c>
      <c r="C371" s="87">
        <f>IF(Database!B371="","",Database!A371)</f>
        <v/>
      </c>
      <c r="D371" s="30">
        <f>IF(Database!B371="","",Database!D371)</f>
        <v/>
      </c>
      <c r="E371" s="30">
        <f>IF(Database!B371="","",Database!E371)</f>
        <v/>
      </c>
      <c r="F371" s="30">
        <f>IF(Database!B371="","",Database!F371)</f>
        <v/>
      </c>
      <c r="G371" s="30">
        <f>IF(Database!B371="","",Database!G371)</f>
        <v/>
      </c>
      <c r="H371" s="30">
        <f>IF(Database!B371="","",Database!C371)</f>
        <v/>
      </c>
      <c r="I371" s="30">
        <f>IF(Database!B371="","",Database!H371)</f>
        <v/>
      </c>
      <c r="J371" s="31" t="n"/>
      <c r="K371" s="88" t="n"/>
      <c r="L371" s="31" t="n"/>
      <c r="M371" s="31" t="n"/>
      <c r="N371" s="31" t="n"/>
      <c r="O371" s="32" t="n"/>
    </row>
    <row r="372">
      <c r="A372" s="30">
        <f>IF(Database!B372="","",ROW()-1)</f>
        <v/>
      </c>
      <c r="B372" s="30">
        <f>IF(Database!B372="","",Database!B372)</f>
        <v/>
      </c>
      <c r="C372" s="87">
        <f>IF(Database!B372="","",Database!A372)</f>
        <v/>
      </c>
      <c r="D372" s="30">
        <f>IF(Database!B372="","",Database!D372)</f>
        <v/>
      </c>
      <c r="E372" s="30">
        <f>IF(Database!B372="","",Database!E372)</f>
        <v/>
      </c>
      <c r="F372" s="30">
        <f>IF(Database!B372="","",Database!F372)</f>
        <v/>
      </c>
      <c r="G372" s="30">
        <f>IF(Database!B372="","",Database!G372)</f>
        <v/>
      </c>
      <c r="H372" s="30">
        <f>IF(Database!B372="","",Database!C372)</f>
        <v/>
      </c>
      <c r="I372" s="30">
        <f>IF(Database!B372="","",Database!H372)</f>
        <v/>
      </c>
      <c r="J372" s="31" t="n"/>
      <c r="K372" s="88" t="n"/>
      <c r="L372" s="31" t="n"/>
      <c r="M372" s="31" t="n"/>
      <c r="N372" s="31" t="n"/>
      <c r="O372" s="32" t="n"/>
    </row>
    <row r="373">
      <c r="A373" s="30">
        <f>IF(Database!B373="","",ROW()-1)</f>
        <v/>
      </c>
      <c r="B373" s="30">
        <f>IF(Database!B373="","",Database!B373)</f>
        <v/>
      </c>
      <c r="C373" s="87">
        <f>IF(Database!B373="","",Database!A373)</f>
        <v/>
      </c>
      <c r="D373" s="30">
        <f>IF(Database!B373="","",Database!D373)</f>
        <v/>
      </c>
      <c r="E373" s="30">
        <f>IF(Database!B373="","",Database!E373)</f>
        <v/>
      </c>
      <c r="F373" s="30">
        <f>IF(Database!B373="","",Database!F373)</f>
        <v/>
      </c>
      <c r="G373" s="30">
        <f>IF(Database!B373="","",Database!G373)</f>
        <v/>
      </c>
      <c r="H373" s="30">
        <f>IF(Database!B373="","",Database!C373)</f>
        <v/>
      </c>
      <c r="I373" s="30">
        <f>IF(Database!B373="","",Database!H373)</f>
        <v/>
      </c>
      <c r="J373" s="31" t="n"/>
      <c r="K373" s="88" t="n"/>
      <c r="L373" s="31" t="n"/>
      <c r="M373" s="31" t="n"/>
      <c r="N373" s="31" t="n"/>
      <c r="O373" s="32" t="n"/>
    </row>
    <row r="374">
      <c r="A374" s="30">
        <f>IF(Database!B374="","",ROW()-1)</f>
        <v/>
      </c>
      <c r="B374" s="30">
        <f>IF(Database!B374="","",Database!B374)</f>
        <v/>
      </c>
      <c r="C374" s="87">
        <f>IF(Database!B374="","",Database!A374)</f>
        <v/>
      </c>
      <c r="D374" s="30">
        <f>IF(Database!B374="","",Database!D374)</f>
        <v/>
      </c>
      <c r="E374" s="30">
        <f>IF(Database!B374="","",Database!E374)</f>
        <v/>
      </c>
      <c r="F374" s="30">
        <f>IF(Database!B374="","",Database!F374)</f>
        <v/>
      </c>
      <c r="G374" s="30">
        <f>IF(Database!B374="","",Database!G374)</f>
        <v/>
      </c>
      <c r="H374" s="30">
        <f>IF(Database!B374="","",Database!C374)</f>
        <v/>
      </c>
      <c r="I374" s="30">
        <f>IF(Database!B374="","",Database!H374)</f>
        <v/>
      </c>
      <c r="J374" s="31" t="n"/>
      <c r="K374" s="88" t="n"/>
      <c r="L374" s="31" t="n"/>
      <c r="M374" s="31" t="n"/>
      <c r="N374" s="31" t="n"/>
      <c r="O374" s="32" t="n"/>
    </row>
    <row r="375">
      <c r="A375" s="30">
        <f>IF(Database!B375="","",ROW()-1)</f>
        <v/>
      </c>
      <c r="B375" s="30">
        <f>IF(Database!B375="","",Database!B375)</f>
        <v/>
      </c>
      <c r="C375" s="87">
        <f>IF(Database!B375="","",Database!A375)</f>
        <v/>
      </c>
      <c r="D375" s="30">
        <f>IF(Database!B375="","",Database!D375)</f>
        <v/>
      </c>
      <c r="E375" s="30">
        <f>IF(Database!B375="","",Database!E375)</f>
        <v/>
      </c>
      <c r="F375" s="30">
        <f>IF(Database!B375="","",Database!F375)</f>
        <v/>
      </c>
      <c r="G375" s="30">
        <f>IF(Database!B375="","",Database!G375)</f>
        <v/>
      </c>
      <c r="H375" s="30">
        <f>IF(Database!B375="","",Database!C375)</f>
        <v/>
      </c>
      <c r="I375" s="30">
        <f>IF(Database!B375="","",Database!H375)</f>
        <v/>
      </c>
      <c r="J375" s="31" t="n"/>
      <c r="K375" s="88" t="n"/>
      <c r="L375" s="31" t="n"/>
      <c r="M375" s="31" t="n"/>
      <c r="N375" s="31" t="n"/>
      <c r="O375" s="32" t="n"/>
    </row>
    <row r="376">
      <c r="A376" s="30">
        <f>IF(Database!B376="","",ROW()-1)</f>
        <v/>
      </c>
      <c r="B376" s="30">
        <f>IF(Database!B376="","",Database!B376)</f>
        <v/>
      </c>
      <c r="C376" s="87">
        <f>IF(Database!B376="","",Database!A376)</f>
        <v/>
      </c>
      <c r="D376" s="30">
        <f>IF(Database!B376="","",Database!D376)</f>
        <v/>
      </c>
      <c r="E376" s="30">
        <f>IF(Database!B376="","",Database!E376)</f>
        <v/>
      </c>
      <c r="F376" s="30">
        <f>IF(Database!B376="","",Database!F376)</f>
        <v/>
      </c>
      <c r="G376" s="30">
        <f>IF(Database!B376="","",Database!G376)</f>
        <v/>
      </c>
      <c r="H376" s="30">
        <f>IF(Database!B376="","",Database!C376)</f>
        <v/>
      </c>
      <c r="I376" s="30">
        <f>IF(Database!B376="","",Database!H376)</f>
        <v/>
      </c>
      <c r="J376" s="31" t="n"/>
      <c r="K376" s="88" t="n"/>
      <c r="L376" s="31" t="n"/>
      <c r="M376" s="31" t="n"/>
      <c r="N376" s="31" t="n"/>
      <c r="O376" s="32" t="n"/>
    </row>
    <row r="377">
      <c r="A377" s="30">
        <f>IF(Database!B377="","",ROW()-1)</f>
        <v/>
      </c>
      <c r="B377" s="30">
        <f>IF(Database!B377="","",Database!B377)</f>
        <v/>
      </c>
      <c r="C377" s="87">
        <f>IF(Database!B377="","",Database!A377)</f>
        <v/>
      </c>
      <c r="D377" s="30">
        <f>IF(Database!B377="","",Database!D377)</f>
        <v/>
      </c>
      <c r="E377" s="30">
        <f>IF(Database!B377="","",Database!E377)</f>
        <v/>
      </c>
      <c r="F377" s="30">
        <f>IF(Database!B377="","",Database!F377)</f>
        <v/>
      </c>
      <c r="G377" s="30">
        <f>IF(Database!B377="","",Database!G377)</f>
        <v/>
      </c>
      <c r="H377" s="30">
        <f>IF(Database!B377="","",Database!C377)</f>
        <v/>
      </c>
      <c r="I377" s="30">
        <f>IF(Database!B377="","",Database!H377)</f>
        <v/>
      </c>
      <c r="J377" s="31" t="n"/>
      <c r="K377" s="88" t="n"/>
      <c r="L377" s="31" t="n"/>
      <c r="M377" s="31" t="n"/>
      <c r="N377" s="31" t="n"/>
      <c r="O377" s="32" t="n"/>
    </row>
    <row r="378">
      <c r="A378" s="30">
        <f>IF(Database!B378="","",ROW()-1)</f>
        <v/>
      </c>
      <c r="B378" s="30">
        <f>IF(Database!B378="","",Database!B378)</f>
        <v/>
      </c>
      <c r="C378" s="87">
        <f>IF(Database!B378="","",Database!A378)</f>
        <v/>
      </c>
      <c r="D378" s="30">
        <f>IF(Database!B378="","",Database!D378)</f>
        <v/>
      </c>
      <c r="E378" s="30">
        <f>IF(Database!B378="","",Database!E378)</f>
        <v/>
      </c>
      <c r="F378" s="30">
        <f>IF(Database!B378="","",Database!F378)</f>
        <v/>
      </c>
      <c r="G378" s="30">
        <f>IF(Database!B378="","",Database!G378)</f>
        <v/>
      </c>
      <c r="H378" s="30">
        <f>IF(Database!B378="","",Database!C378)</f>
        <v/>
      </c>
      <c r="I378" s="30">
        <f>IF(Database!B378="","",Database!H378)</f>
        <v/>
      </c>
      <c r="J378" s="31" t="n"/>
      <c r="K378" s="88" t="n"/>
      <c r="L378" s="31" t="n"/>
      <c r="M378" s="31" t="n"/>
      <c r="N378" s="31" t="n"/>
      <c r="O378" s="32" t="n"/>
    </row>
    <row r="379">
      <c r="A379" s="30">
        <f>IF(Database!B379="","",ROW()-1)</f>
        <v/>
      </c>
      <c r="B379" s="30">
        <f>IF(Database!B379="","",Database!B379)</f>
        <v/>
      </c>
      <c r="C379" s="87">
        <f>IF(Database!B379="","",Database!A379)</f>
        <v/>
      </c>
      <c r="D379" s="30">
        <f>IF(Database!B379="","",Database!D379)</f>
        <v/>
      </c>
      <c r="E379" s="30">
        <f>IF(Database!B379="","",Database!E379)</f>
        <v/>
      </c>
      <c r="F379" s="30">
        <f>IF(Database!B379="","",Database!F379)</f>
        <v/>
      </c>
      <c r="G379" s="30">
        <f>IF(Database!B379="","",Database!G379)</f>
        <v/>
      </c>
      <c r="H379" s="30">
        <f>IF(Database!B379="","",Database!C379)</f>
        <v/>
      </c>
      <c r="I379" s="30">
        <f>IF(Database!B379="","",Database!H379)</f>
        <v/>
      </c>
      <c r="J379" s="31" t="n"/>
      <c r="K379" s="88" t="n"/>
      <c r="L379" s="31" t="n"/>
      <c r="M379" s="31" t="n"/>
      <c r="N379" s="31" t="n"/>
      <c r="O379" s="32" t="n"/>
    </row>
    <row r="380">
      <c r="A380" s="30">
        <f>IF(Database!B380="","",ROW()-1)</f>
        <v/>
      </c>
      <c r="B380" s="30">
        <f>IF(Database!B380="","",Database!B380)</f>
        <v/>
      </c>
      <c r="C380" s="87">
        <f>IF(Database!B380="","",Database!A380)</f>
        <v/>
      </c>
      <c r="D380" s="30">
        <f>IF(Database!B380="","",Database!D380)</f>
        <v/>
      </c>
      <c r="E380" s="30">
        <f>IF(Database!B380="","",Database!E380)</f>
        <v/>
      </c>
      <c r="F380" s="30">
        <f>IF(Database!B380="","",Database!F380)</f>
        <v/>
      </c>
      <c r="G380" s="30">
        <f>IF(Database!B380="","",Database!G380)</f>
        <v/>
      </c>
      <c r="H380" s="30">
        <f>IF(Database!B380="","",Database!C380)</f>
        <v/>
      </c>
      <c r="I380" s="30">
        <f>IF(Database!B380="","",Database!H380)</f>
        <v/>
      </c>
      <c r="J380" s="31" t="n"/>
      <c r="K380" s="88" t="n"/>
      <c r="L380" s="31" t="n"/>
      <c r="M380" s="31" t="n"/>
      <c r="N380" s="31" t="n"/>
      <c r="O380" s="32" t="n"/>
    </row>
    <row r="381">
      <c r="A381" s="30">
        <f>IF(Database!B381="","",ROW()-1)</f>
        <v/>
      </c>
      <c r="B381" s="30">
        <f>IF(Database!B381="","",Database!B381)</f>
        <v/>
      </c>
      <c r="C381" s="87">
        <f>IF(Database!B381="","",Database!A381)</f>
        <v/>
      </c>
      <c r="D381" s="30">
        <f>IF(Database!B381="","",Database!D381)</f>
        <v/>
      </c>
      <c r="E381" s="30">
        <f>IF(Database!B381="","",Database!E381)</f>
        <v/>
      </c>
      <c r="F381" s="30">
        <f>IF(Database!B381="","",Database!F381)</f>
        <v/>
      </c>
      <c r="G381" s="30">
        <f>IF(Database!B381="","",Database!G381)</f>
        <v/>
      </c>
      <c r="H381" s="30">
        <f>IF(Database!B381="","",Database!C381)</f>
        <v/>
      </c>
      <c r="I381" s="30">
        <f>IF(Database!B381="","",Database!H381)</f>
        <v/>
      </c>
      <c r="J381" s="31" t="n"/>
      <c r="K381" s="88" t="n"/>
      <c r="L381" s="31" t="n"/>
      <c r="M381" s="31" t="n"/>
      <c r="N381" s="31" t="n"/>
      <c r="O381" s="32" t="n"/>
    </row>
    <row r="382">
      <c r="A382" s="30">
        <f>IF(Database!B382="","",ROW()-1)</f>
        <v/>
      </c>
      <c r="B382" s="30">
        <f>IF(Database!B382="","",Database!B382)</f>
        <v/>
      </c>
      <c r="C382" s="87">
        <f>IF(Database!B382="","",Database!A382)</f>
        <v/>
      </c>
      <c r="D382" s="30">
        <f>IF(Database!B382="","",Database!D382)</f>
        <v/>
      </c>
      <c r="E382" s="30">
        <f>IF(Database!B382="","",Database!E382)</f>
        <v/>
      </c>
      <c r="F382" s="30">
        <f>IF(Database!B382="","",Database!F382)</f>
        <v/>
      </c>
      <c r="G382" s="30">
        <f>IF(Database!B382="","",Database!G382)</f>
        <v/>
      </c>
      <c r="H382" s="30">
        <f>IF(Database!B382="","",Database!C382)</f>
        <v/>
      </c>
      <c r="I382" s="30">
        <f>IF(Database!B382="","",Database!H382)</f>
        <v/>
      </c>
      <c r="J382" s="31" t="n"/>
      <c r="K382" s="88" t="n"/>
      <c r="L382" s="31" t="n"/>
      <c r="M382" s="31" t="n"/>
      <c r="N382" s="31" t="n"/>
      <c r="O382" s="32" t="n"/>
    </row>
    <row r="383">
      <c r="A383" s="30">
        <f>IF(Database!B383="","",ROW()-1)</f>
        <v/>
      </c>
      <c r="B383" s="30">
        <f>IF(Database!B383="","",Database!B383)</f>
        <v/>
      </c>
      <c r="C383" s="87">
        <f>IF(Database!B383="","",Database!A383)</f>
        <v/>
      </c>
      <c r="D383" s="30">
        <f>IF(Database!B383="","",Database!D383)</f>
        <v/>
      </c>
      <c r="E383" s="30">
        <f>IF(Database!B383="","",Database!E383)</f>
        <v/>
      </c>
      <c r="F383" s="30">
        <f>IF(Database!B383="","",Database!F383)</f>
        <v/>
      </c>
      <c r="G383" s="30">
        <f>IF(Database!B383="","",Database!G383)</f>
        <v/>
      </c>
      <c r="H383" s="30">
        <f>IF(Database!B383="","",Database!C383)</f>
        <v/>
      </c>
      <c r="I383" s="30">
        <f>IF(Database!B383="","",Database!H383)</f>
        <v/>
      </c>
      <c r="J383" s="31" t="n"/>
      <c r="K383" s="88" t="n"/>
      <c r="L383" s="31" t="n"/>
      <c r="M383" s="31" t="n"/>
      <c r="N383" s="31" t="n"/>
      <c r="O383" s="32" t="n"/>
    </row>
    <row r="384">
      <c r="A384" s="30">
        <f>IF(Database!B384="","",ROW()-1)</f>
        <v/>
      </c>
      <c r="B384" s="30">
        <f>IF(Database!B384="","",Database!B384)</f>
        <v/>
      </c>
      <c r="C384" s="87">
        <f>IF(Database!B384="","",Database!A384)</f>
        <v/>
      </c>
      <c r="D384" s="30">
        <f>IF(Database!B384="","",Database!D384)</f>
        <v/>
      </c>
      <c r="E384" s="30">
        <f>IF(Database!B384="","",Database!E384)</f>
        <v/>
      </c>
      <c r="F384" s="30">
        <f>IF(Database!B384="","",Database!F384)</f>
        <v/>
      </c>
      <c r="G384" s="30">
        <f>IF(Database!B384="","",Database!G384)</f>
        <v/>
      </c>
      <c r="H384" s="30">
        <f>IF(Database!B384="","",Database!C384)</f>
        <v/>
      </c>
      <c r="I384" s="30">
        <f>IF(Database!B384="","",Database!H384)</f>
        <v/>
      </c>
      <c r="J384" s="31" t="n"/>
      <c r="K384" s="88" t="n"/>
      <c r="L384" s="31" t="n"/>
      <c r="M384" s="31" t="n"/>
      <c r="N384" s="31" t="n"/>
      <c r="O384" s="32" t="n"/>
    </row>
    <row r="385">
      <c r="A385" s="30">
        <f>IF(Database!B385="","",ROW()-1)</f>
        <v/>
      </c>
      <c r="B385" s="30">
        <f>IF(Database!B385="","",Database!B385)</f>
        <v/>
      </c>
      <c r="C385" s="87">
        <f>IF(Database!B385="","",Database!A385)</f>
        <v/>
      </c>
      <c r="D385" s="30">
        <f>IF(Database!B385="","",Database!D385)</f>
        <v/>
      </c>
      <c r="E385" s="30">
        <f>IF(Database!B385="","",Database!E385)</f>
        <v/>
      </c>
      <c r="F385" s="30">
        <f>IF(Database!B385="","",Database!F385)</f>
        <v/>
      </c>
      <c r="G385" s="30">
        <f>IF(Database!B385="","",Database!G385)</f>
        <v/>
      </c>
      <c r="H385" s="30">
        <f>IF(Database!B385="","",Database!C385)</f>
        <v/>
      </c>
      <c r="I385" s="30">
        <f>IF(Database!B385="","",Database!H385)</f>
        <v/>
      </c>
      <c r="J385" s="31" t="n"/>
      <c r="K385" s="88" t="n"/>
      <c r="L385" s="31" t="n"/>
      <c r="M385" s="31" t="n"/>
      <c r="N385" s="31" t="n"/>
      <c r="O385" s="32" t="n"/>
    </row>
    <row r="386">
      <c r="A386" s="30">
        <f>IF(Database!B386="","",ROW()-1)</f>
        <v/>
      </c>
      <c r="B386" s="30">
        <f>IF(Database!B386="","",Database!B386)</f>
        <v/>
      </c>
      <c r="C386" s="87">
        <f>IF(Database!B386="","",Database!A386)</f>
        <v/>
      </c>
      <c r="D386" s="30">
        <f>IF(Database!B386="","",Database!D386)</f>
        <v/>
      </c>
      <c r="E386" s="30">
        <f>IF(Database!B386="","",Database!E386)</f>
        <v/>
      </c>
      <c r="F386" s="30">
        <f>IF(Database!B386="","",Database!F386)</f>
        <v/>
      </c>
      <c r="G386" s="30">
        <f>IF(Database!B386="","",Database!G386)</f>
        <v/>
      </c>
      <c r="H386" s="30">
        <f>IF(Database!B386="","",Database!C386)</f>
        <v/>
      </c>
      <c r="I386" s="30">
        <f>IF(Database!B386="","",Database!H386)</f>
        <v/>
      </c>
      <c r="J386" s="31" t="n"/>
      <c r="K386" s="88" t="n"/>
      <c r="L386" s="31" t="n"/>
      <c r="M386" s="31" t="n"/>
      <c r="N386" s="31" t="n"/>
      <c r="O386" s="32" t="n"/>
    </row>
    <row r="387">
      <c r="A387" s="30">
        <f>IF(Database!B387="","",ROW()-1)</f>
        <v/>
      </c>
      <c r="B387" s="30">
        <f>IF(Database!B387="","",Database!B387)</f>
        <v/>
      </c>
      <c r="C387" s="87">
        <f>IF(Database!B387="","",Database!A387)</f>
        <v/>
      </c>
      <c r="D387" s="30">
        <f>IF(Database!B387="","",Database!D387)</f>
        <v/>
      </c>
      <c r="E387" s="30">
        <f>IF(Database!B387="","",Database!E387)</f>
        <v/>
      </c>
      <c r="F387" s="30">
        <f>IF(Database!B387="","",Database!F387)</f>
        <v/>
      </c>
      <c r="G387" s="30">
        <f>IF(Database!B387="","",Database!G387)</f>
        <v/>
      </c>
      <c r="H387" s="30">
        <f>IF(Database!B387="","",Database!C387)</f>
        <v/>
      </c>
      <c r="I387" s="30">
        <f>IF(Database!B387="","",Database!H387)</f>
        <v/>
      </c>
      <c r="J387" s="31" t="n"/>
      <c r="K387" s="88" t="n"/>
      <c r="L387" s="31" t="n"/>
      <c r="M387" s="31" t="n"/>
      <c r="N387" s="31" t="n"/>
      <c r="O387" s="32" t="n"/>
    </row>
    <row r="388">
      <c r="A388" s="30">
        <f>IF(Database!B388="","",ROW()-1)</f>
        <v/>
      </c>
      <c r="B388" s="30">
        <f>IF(Database!B388="","",Database!B388)</f>
        <v/>
      </c>
      <c r="C388" s="87">
        <f>IF(Database!B388="","",Database!A388)</f>
        <v/>
      </c>
      <c r="D388" s="30">
        <f>IF(Database!B388="","",Database!D388)</f>
        <v/>
      </c>
      <c r="E388" s="30">
        <f>IF(Database!B388="","",Database!E388)</f>
        <v/>
      </c>
      <c r="F388" s="30">
        <f>IF(Database!B388="","",Database!F388)</f>
        <v/>
      </c>
      <c r="G388" s="30">
        <f>IF(Database!B388="","",Database!G388)</f>
        <v/>
      </c>
      <c r="H388" s="30">
        <f>IF(Database!B388="","",Database!C388)</f>
        <v/>
      </c>
      <c r="I388" s="30">
        <f>IF(Database!B388="","",Database!H388)</f>
        <v/>
      </c>
      <c r="J388" s="31" t="n"/>
      <c r="K388" s="88" t="n"/>
      <c r="L388" s="31" t="n"/>
      <c r="M388" s="31" t="n"/>
      <c r="N388" s="31" t="n"/>
      <c r="O388" s="32" t="n"/>
    </row>
    <row r="389">
      <c r="A389" s="30">
        <f>IF(Database!B389="","",ROW()-1)</f>
        <v/>
      </c>
      <c r="B389" s="30">
        <f>IF(Database!B389="","",Database!B389)</f>
        <v/>
      </c>
      <c r="C389" s="87">
        <f>IF(Database!B389="","",Database!A389)</f>
        <v/>
      </c>
      <c r="D389" s="30">
        <f>IF(Database!B389="","",Database!D389)</f>
        <v/>
      </c>
      <c r="E389" s="30">
        <f>IF(Database!B389="","",Database!E389)</f>
        <v/>
      </c>
      <c r="F389" s="30">
        <f>IF(Database!B389="","",Database!F389)</f>
        <v/>
      </c>
      <c r="G389" s="30">
        <f>IF(Database!B389="","",Database!G389)</f>
        <v/>
      </c>
      <c r="H389" s="30">
        <f>IF(Database!B389="","",Database!C389)</f>
        <v/>
      </c>
      <c r="I389" s="30">
        <f>IF(Database!B389="","",Database!H389)</f>
        <v/>
      </c>
      <c r="J389" s="31" t="n"/>
      <c r="K389" s="88" t="n"/>
      <c r="L389" s="31" t="n"/>
      <c r="M389" s="31" t="n"/>
      <c r="N389" s="31" t="n"/>
      <c r="O389" s="32" t="n"/>
    </row>
    <row r="390">
      <c r="A390" s="30">
        <f>IF(Database!B390="","",ROW()-1)</f>
        <v/>
      </c>
      <c r="B390" s="30">
        <f>IF(Database!B390="","",Database!B390)</f>
        <v/>
      </c>
      <c r="C390" s="87">
        <f>IF(Database!B390="","",Database!A390)</f>
        <v/>
      </c>
      <c r="D390" s="30">
        <f>IF(Database!B390="","",Database!D390)</f>
        <v/>
      </c>
      <c r="E390" s="30">
        <f>IF(Database!B390="","",Database!E390)</f>
        <v/>
      </c>
      <c r="F390" s="30">
        <f>IF(Database!B390="","",Database!F390)</f>
        <v/>
      </c>
      <c r="G390" s="30">
        <f>IF(Database!B390="","",Database!G390)</f>
        <v/>
      </c>
      <c r="H390" s="30">
        <f>IF(Database!B390="","",Database!C390)</f>
        <v/>
      </c>
      <c r="I390" s="30">
        <f>IF(Database!B390="","",Database!H390)</f>
        <v/>
      </c>
      <c r="J390" s="31" t="n"/>
      <c r="K390" s="88" t="n"/>
      <c r="L390" s="31" t="n"/>
      <c r="M390" s="31" t="n"/>
      <c r="N390" s="31" t="n"/>
      <c r="O390" s="32" t="n"/>
    </row>
    <row r="391">
      <c r="A391" s="30">
        <f>IF(Database!B391="","",ROW()-1)</f>
        <v/>
      </c>
      <c r="B391" s="30">
        <f>IF(Database!B391="","",Database!B391)</f>
        <v/>
      </c>
      <c r="C391" s="87">
        <f>IF(Database!B391="","",Database!A391)</f>
        <v/>
      </c>
      <c r="D391" s="30">
        <f>IF(Database!B391="","",Database!D391)</f>
        <v/>
      </c>
      <c r="E391" s="30">
        <f>IF(Database!B391="","",Database!E391)</f>
        <v/>
      </c>
      <c r="F391" s="30">
        <f>IF(Database!B391="","",Database!F391)</f>
        <v/>
      </c>
      <c r="G391" s="30">
        <f>IF(Database!B391="","",Database!G391)</f>
        <v/>
      </c>
      <c r="H391" s="30">
        <f>IF(Database!B391="","",Database!C391)</f>
        <v/>
      </c>
      <c r="I391" s="30">
        <f>IF(Database!B391="","",Database!H391)</f>
        <v/>
      </c>
      <c r="J391" s="31" t="n"/>
      <c r="K391" s="88" t="n"/>
      <c r="L391" s="31" t="n"/>
      <c r="M391" s="31" t="n"/>
      <c r="N391" s="31" t="n"/>
      <c r="O391" s="32" t="n"/>
    </row>
    <row r="392">
      <c r="A392" s="30">
        <f>IF(Database!B392="","",ROW()-1)</f>
        <v/>
      </c>
      <c r="B392" s="30">
        <f>IF(Database!B392="","",Database!B392)</f>
        <v/>
      </c>
      <c r="C392" s="87">
        <f>IF(Database!B392="","",Database!A392)</f>
        <v/>
      </c>
      <c r="D392" s="30">
        <f>IF(Database!B392="","",Database!D392)</f>
        <v/>
      </c>
      <c r="E392" s="30">
        <f>IF(Database!B392="","",Database!E392)</f>
        <v/>
      </c>
      <c r="F392" s="30">
        <f>IF(Database!B392="","",Database!F392)</f>
        <v/>
      </c>
      <c r="G392" s="30">
        <f>IF(Database!B392="","",Database!G392)</f>
        <v/>
      </c>
      <c r="H392" s="30">
        <f>IF(Database!B392="","",Database!C392)</f>
        <v/>
      </c>
      <c r="I392" s="30">
        <f>IF(Database!B392="","",Database!H392)</f>
        <v/>
      </c>
      <c r="J392" s="31" t="n"/>
      <c r="K392" s="88" t="n"/>
      <c r="L392" s="31" t="n"/>
      <c r="M392" s="31" t="n"/>
      <c r="N392" s="31" t="n"/>
      <c r="O392" s="32" t="n"/>
    </row>
    <row r="393">
      <c r="A393" s="30">
        <f>IF(Database!B393="","",ROW()-1)</f>
        <v/>
      </c>
      <c r="B393" s="30">
        <f>IF(Database!B393="","",Database!B393)</f>
        <v/>
      </c>
      <c r="C393" s="87">
        <f>IF(Database!B393="","",Database!A393)</f>
        <v/>
      </c>
      <c r="D393" s="30">
        <f>IF(Database!B393="","",Database!D393)</f>
        <v/>
      </c>
      <c r="E393" s="30">
        <f>IF(Database!B393="","",Database!E393)</f>
        <v/>
      </c>
      <c r="F393" s="30">
        <f>IF(Database!B393="","",Database!F393)</f>
        <v/>
      </c>
      <c r="G393" s="30">
        <f>IF(Database!B393="","",Database!G393)</f>
        <v/>
      </c>
      <c r="H393" s="30">
        <f>IF(Database!B393="","",Database!C393)</f>
        <v/>
      </c>
      <c r="I393" s="30">
        <f>IF(Database!B393="","",Database!H393)</f>
        <v/>
      </c>
      <c r="J393" s="31" t="n"/>
      <c r="K393" s="88" t="n"/>
      <c r="L393" s="31" t="n"/>
      <c r="M393" s="31" t="n"/>
      <c r="N393" s="31" t="n"/>
      <c r="O393" s="32" t="n"/>
    </row>
    <row r="394">
      <c r="A394" s="30">
        <f>IF(Database!B394="","",ROW()-1)</f>
        <v/>
      </c>
      <c r="B394" s="30">
        <f>IF(Database!B394="","",Database!B394)</f>
        <v/>
      </c>
      <c r="C394" s="87">
        <f>IF(Database!B394="","",Database!A394)</f>
        <v/>
      </c>
      <c r="D394" s="30">
        <f>IF(Database!B394="","",Database!D394)</f>
        <v/>
      </c>
      <c r="E394" s="30">
        <f>IF(Database!B394="","",Database!E394)</f>
        <v/>
      </c>
      <c r="F394" s="30">
        <f>IF(Database!B394="","",Database!F394)</f>
        <v/>
      </c>
      <c r="G394" s="30">
        <f>IF(Database!B394="","",Database!G394)</f>
        <v/>
      </c>
      <c r="H394" s="30">
        <f>IF(Database!B394="","",Database!C394)</f>
        <v/>
      </c>
      <c r="I394" s="30">
        <f>IF(Database!B394="","",Database!H394)</f>
        <v/>
      </c>
      <c r="J394" s="31" t="n"/>
      <c r="K394" s="88" t="n"/>
      <c r="L394" s="31" t="n"/>
      <c r="M394" s="31" t="n"/>
      <c r="N394" s="31" t="n"/>
      <c r="O394" s="32" t="n"/>
    </row>
    <row r="395">
      <c r="A395" s="30">
        <f>IF(Database!B395="","",ROW()-1)</f>
        <v/>
      </c>
      <c r="B395" s="30">
        <f>IF(Database!B395="","",Database!B395)</f>
        <v/>
      </c>
      <c r="C395" s="87">
        <f>IF(Database!B395="","",Database!A395)</f>
        <v/>
      </c>
      <c r="D395" s="30">
        <f>IF(Database!B395="","",Database!D395)</f>
        <v/>
      </c>
      <c r="E395" s="30">
        <f>IF(Database!B395="","",Database!E395)</f>
        <v/>
      </c>
      <c r="F395" s="30">
        <f>IF(Database!B395="","",Database!F395)</f>
        <v/>
      </c>
      <c r="G395" s="30">
        <f>IF(Database!B395="","",Database!G395)</f>
        <v/>
      </c>
      <c r="H395" s="30">
        <f>IF(Database!B395="","",Database!C395)</f>
        <v/>
      </c>
      <c r="I395" s="30">
        <f>IF(Database!B395="","",Database!H395)</f>
        <v/>
      </c>
      <c r="J395" s="31" t="n"/>
      <c r="K395" s="88" t="n"/>
      <c r="L395" s="31" t="n"/>
      <c r="M395" s="31" t="n"/>
      <c r="N395" s="31" t="n"/>
      <c r="O395" s="32" t="n"/>
    </row>
    <row r="396">
      <c r="A396" s="30">
        <f>IF(Database!B396="","",ROW()-1)</f>
        <v/>
      </c>
      <c r="B396" s="30">
        <f>IF(Database!B396="","",Database!B396)</f>
        <v/>
      </c>
      <c r="C396" s="87">
        <f>IF(Database!B396="","",Database!A396)</f>
        <v/>
      </c>
      <c r="D396" s="30">
        <f>IF(Database!B396="","",Database!D396)</f>
        <v/>
      </c>
      <c r="E396" s="30">
        <f>IF(Database!B396="","",Database!E396)</f>
        <v/>
      </c>
      <c r="F396" s="30">
        <f>IF(Database!B396="","",Database!F396)</f>
        <v/>
      </c>
      <c r="G396" s="30">
        <f>IF(Database!B396="","",Database!G396)</f>
        <v/>
      </c>
      <c r="H396" s="30">
        <f>IF(Database!B396="","",Database!C396)</f>
        <v/>
      </c>
      <c r="I396" s="30">
        <f>IF(Database!B396="","",Database!H396)</f>
        <v/>
      </c>
      <c r="J396" s="31" t="n"/>
      <c r="K396" s="88" t="n"/>
      <c r="L396" s="31" t="n"/>
      <c r="M396" s="31" t="n"/>
      <c r="N396" s="31" t="n"/>
      <c r="O396" s="32" t="n"/>
    </row>
    <row r="397">
      <c r="A397" s="30">
        <f>IF(Database!B397="","",ROW()-1)</f>
        <v/>
      </c>
      <c r="B397" s="30">
        <f>IF(Database!B397="","",Database!B397)</f>
        <v/>
      </c>
      <c r="C397" s="87">
        <f>IF(Database!B397="","",Database!A397)</f>
        <v/>
      </c>
      <c r="D397" s="30">
        <f>IF(Database!B397="","",Database!D397)</f>
        <v/>
      </c>
      <c r="E397" s="30">
        <f>IF(Database!B397="","",Database!E397)</f>
        <v/>
      </c>
      <c r="F397" s="30">
        <f>IF(Database!B397="","",Database!F397)</f>
        <v/>
      </c>
      <c r="G397" s="30">
        <f>IF(Database!B397="","",Database!G397)</f>
        <v/>
      </c>
      <c r="H397" s="30">
        <f>IF(Database!B397="","",Database!C397)</f>
        <v/>
      </c>
      <c r="I397" s="30">
        <f>IF(Database!B397="","",Database!H397)</f>
        <v/>
      </c>
      <c r="J397" s="31" t="n"/>
      <c r="K397" s="88" t="n"/>
      <c r="L397" s="31" t="n"/>
      <c r="M397" s="31" t="n"/>
      <c r="N397" s="31" t="n"/>
      <c r="O397" s="32" t="n"/>
    </row>
    <row r="398">
      <c r="A398" s="30">
        <f>IF(Database!B398="","",ROW()-1)</f>
        <v/>
      </c>
      <c r="B398" s="30">
        <f>IF(Database!B398="","",Database!B398)</f>
        <v/>
      </c>
      <c r="C398" s="87">
        <f>IF(Database!B398="","",Database!A398)</f>
        <v/>
      </c>
      <c r="D398" s="30">
        <f>IF(Database!B398="","",Database!D398)</f>
        <v/>
      </c>
      <c r="E398" s="30">
        <f>IF(Database!B398="","",Database!E398)</f>
        <v/>
      </c>
      <c r="F398" s="30">
        <f>IF(Database!B398="","",Database!F398)</f>
        <v/>
      </c>
      <c r="G398" s="30">
        <f>IF(Database!B398="","",Database!G398)</f>
        <v/>
      </c>
      <c r="H398" s="30">
        <f>IF(Database!B398="","",Database!C398)</f>
        <v/>
      </c>
      <c r="I398" s="30">
        <f>IF(Database!B398="","",Database!H398)</f>
        <v/>
      </c>
      <c r="J398" s="31" t="n"/>
      <c r="K398" s="88" t="n"/>
      <c r="L398" s="31" t="n"/>
      <c r="M398" s="31" t="n"/>
      <c r="N398" s="31" t="n"/>
      <c r="O398" s="32" t="n"/>
    </row>
    <row r="399">
      <c r="A399" s="30">
        <f>IF(Database!B399="","",ROW()-1)</f>
        <v/>
      </c>
      <c r="B399" s="30">
        <f>IF(Database!B399="","",Database!B399)</f>
        <v/>
      </c>
      <c r="C399" s="87">
        <f>IF(Database!B399="","",Database!A399)</f>
        <v/>
      </c>
      <c r="D399" s="30">
        <f>IF(Database!B399="","",Database!D399)</f>
        <v/>
      </c>
      <c r="E399" s="30">
        <f>IF(Database!B399="","",Database!E399)</f>
        <v/>
      </c>
      <c r="F399" s="30">
        <f>IF(Database!B399="","",Database!F399)</f>
        <v/>
      </c>
      <c r="G399" s="30">
        <f>IF(Database!B399="","",Database!G399)</f>
        <v/>
      </c>
      <c r="H399" s="30">
        <f>IF(Database!B399="","",Database!C399)</f>
        <v/>
      </c>
      <c r="I399" s="30">
        <f>IF(Database!B399="","",Database!H399)</f>
        <v/>
      </c>
      <c r="J399" s="31" t="n"/>
      <c r="K399" s="88" t="n"/>
      <c r="L399" s="31" t="n"/>
      <c r="M399" s="31" t="n"/>
      <c r="N399" s="31" t="n"/>
      <c r="O399" s="32" t="n"/>
    </row>
    <row r="400">
      <c r="A400" s="30">
        <f>IF(Database!B400="","",ROW()-1)</f>
        <v/>
      </c>
      <c r="B400" s="30">
        <f>IF(Database!B400="","",Database!B400)</f>
        <v/>
      </c>
      <c r="C400" s="87">
        <f>IF(Database!B400="","",Database!A400)</f>
        <v/>
      </c>
      <c r="D400" s="30">
        <f>IF(Database!B400="","",Database!D400)</f>
        <v/>
      </c>
      <c r="E400" s="30">
        <f>IF(Database!B400="","",Database!E400)</f>
        <v/>
      </c>
      <c r="F400" s="30">
        <f>IF(Database!B400="","",Database!F400)</f>
        <v/>
      </c>
      <c r="G400" s="30">
        <f>IF(Database!B400="","",Database!G400)</f>
        <v/>
      </c>
      <c r="H400" s="30">
        <f>IF(Database!B400="","",Database!C400)</f>
        <v/>
      </c>
      <c r="I400" s="30">
        <f>IF(Database!B400="","",Database!H400)</f>
        <v/>
      </c>
      <c r="J400" s="31" t="n"/>
      <c r="K400" s="88" t="n"/>
      <c r="L400" s="31" t="n"/>
      <c r="M400" s="31" t="n"/>
      <c r="N400" s="31" t="n"/>
      <c r="O400" s="32" t="n"/>
    </row>
    <row r="401">
      <c r="A401" s="30">
        <f>IF(Database!B401="","",ROW()-1)</f>
        <v/>
      </c>
      <c r="B401" s="30">
        <f>IF(Database!B401="","",Database!B401)</f>
        <v/>
      </c>
      <c r="C401" s="87">
        <f>IF(Database!B401="","",Database!A401)</f>
        <v/>
      </c>
      <c r="D401" s="30">
        <f>IF(Database!B401="","",Database!D401)</f>
        <v/>
      </c>
      <c r="E401" s="30">
        <f>IF(Database!B401="","",Database!E401)</f>
        <v/>
      </c>
      <c r="F401" s="30">
        <f>IF(Database!B401="","",Database!F401)</f>
        <v/>
      </c>
      <c r="G401" s="30">
        <f>IF(Database!B401="","",Database!G401)</f>
        <v/>
      </c>
      <c r="H401" s="30">
        <f>IF(Database!B401="","",Database!C401)</f>
        <v/>
      </c>
      <c r="I401" s="30">
        <f>IF(Database!B401="","",Database!H401)</f>
        <v/>
      </c>
      <c r="J401" s="31" t="n"/>
      <c r="K401" s="88" t="n"/>
      <c r="L401" s="31" t="n"/>
      <c r="M401" s="31" t="n"/>
      <c r="N401" s="31" t="n"/>
      <c r="O401" s="32" t="n"/>
    </row>
    <row r="402">
      <c r="A402" s="30">
        <f>IF(Database!B402="","",ROW()-1)</f>
        <v/>
      </c>
      <c r="B402" s="30">
        <f>IF(Database!B402="","",Database!B402)</f>
        <v/>
      </c>
      <c r="C402" s="87">
        <f>IF(Database!B402="","",Database!A402)</f>
        <v/>
      </c>
      <c r="D402" s="30">
        <f>IF(Database!B402="","",Database!D402)</f>
        <v/>
      </c>
      <c r="E402" s="30">
        <f>IF(Database!B402="","",Database!E402)</f>
        <v/>
      </c>
      <c r="F402" s="30">
        <f>IF(Database!B402="","",Database!F402)</f>
        <v/>
      </c>
      <c r="G402" s="30">
        <f>IF(Database!B402="","",Database!G402)</f>
        <v/>
      </c>
      <c r="H402" s="30">
        <f>IF(Database!B402="","",Database!C402)</f>
        <v/>
      </c>
      <c r="I402" s="30">
        <f>IF(Database!B402="","",Database!H402)</f>
        <v/>
      </c>
      <c r="J402" s="31" t="n"/>
      <c r="K402" s="88" t="n"/>
      <c r="L402" s="31" t="n"/>
      <c r="M402" s="31" t="n"/>
      <c r="N402" s="31" t="n"/>
      <c r="O402" s="32" t="n"/>
    </row>
    <row r="403">
      <c r="A403" s="30">
        <f>IF(Database!B403="","",ROW()-1)</f>
        <v/>
      </c>
      <c r="B403" s="30">
        <f>IF(Database!B403="","",Database!B403)</f>
        <v/>
      </c>
      <c r="C403" s="87">
        <f>IF(Database!B403="","",Database!A403)</f>
        <v/>
      </c>
      <c r="D403" s="30">
        <f>IF(Database!B403="","",Database!D403)</f>
        <v/>
      </c>
      <c r="E403" s="30">
        <f>IF(Database!B403="","",Database!E403)</f>
        <v/>
      </c>
      <c r="F403" s="30">
        <f>IF(Database!B403="","",Database!F403)</f>
        <v/>
      </c>
      <c r="G403" s="30">
        <f>IF(Database!B403="","",Database!G403)</f>
        <v/>
      </c>
      <c r="H403" s="30">
        <f>IF(Database!B403="","",Database!C403)</f>
        <v/>
      </c>
      <c r="I403" s="30">
        <f>IF(Database!B403="","",Database!H403)</f>
        <v/>
      </c>
      <c r="J403" s="31" t="n"/>
      <c r="K403" s="88" t="n"/>
      <c r="L403" s="31" t="n"/>
      <c r="M403" s="31" t="n"/>
      <c r="N403" s="31" t="n"/>
      <c r="O403" s="32" t="n"/>
    </row>
    <row r="404">
      <c r="A404" s="30">
        <f>IF(Database!B404="","",ROW()-1)</f>
        <v/>
      </c>
      <c r="B404" s="30">
        <f>IF(Database!B404="","",Database!B404)</f>
        <v/>
      </c>
      <c r="C404" s="87">
        <f>IF(Database!B404="","",Database!A404)</f>
        <v/>
      </c>
      <c r="D404" s="30">
        <f>IF(Database!B404="","",Database!D404)</f>
        <v/>
      </c>
      <c r="E404" s="30">
        <f>IF(Database!B404="","",Database!E404)</f>
        <v/>
      </c>
      <c r="F404" s="30">
        <f>IF(Database!B404="","",Database!F404)</f>
        <v/>
      </c>
      <c r="G404" s="30">
        <f>IF(Database!B404="","",Database!G404)</f>
        <v/>
      </c>
      <c r="H404" s="30">
        <f>IF(Database!B404="","",Database!C404)</f>
        <v/>
      </c>
      <c r="I404" s="30">
        <f>IF(Database!B404="","",Database!H404)</f>
        <v/>
      </c>
      <c r="J404" s="31" t="n"/>
      <c r="K404" s="88" t="n"/>
      <c r="L404" s="31" t="n"/>
      <c r="M404" s="31" t="n"/>
      <c r="N404" s="31" t="n"/>
      <c r="O404" s="32" t="n"/>
    </row>
    <row r="405">
      <c r="A405" s="30">
        <f>IF(Database!B405="","",ROW()-1)</f>
        <v/>
      </c>
      <c r="B405" s="30">
        <f>IF(Database!B405="","",Database!B405)</f>
        <v/>
      </c>
      <c r="C405" s="87">
        <f>IF(Database!B405="","",Database!A405)</f>
        <v/>
      </c>
      <c r="D405" s="30">
        <f>IF(Database!B405="","",Database!D405)</f>
        <v/>
      </c>
      <c r="E405" s="30">
        <f>IF(Database!B405="","",Database!E405)</f>
        <v/>
      </c>
      <c r="F405" s="30">
        <f>IF(Database!B405="","",Database!F405)</f>
        <v/>
      </c>
      <c r="G405" s="30">
        <f>IF(Database!B405="","",Database!G405)</f>
        <v/>
      </c>
      <c r="H405" s="30">
        <f>IF(Database!B405="","",Database!C405)</f>
        <v/>
      </c>
      <c r="I405" s="30">
        <f>IF(Database!B405="","",Database!H405)</f>
        <v/>
      </c>
      <c r="J405" s="31" t="n"/>
      <c r="K405" s="88" t="n"/>
      <c r="L405" s="31" t="n"/>
      <c r="M405" s="31" t="n"/>
      <c r="N405" s="31" t="n"/>
      <c r="O405" s="32" t="n"/>
    </row>
    <row r="406">
      <c r="A406" s="30">
        <f>IF(Database!B406="","",ROW()-1)</f>
        <v/>
      </c>
      <c r="B406" s="30">
        <f>IF(Database!B406="","",Database!B406)</f>
        <v/>
      </c>
      <c r="C406" s="87">
        <f>IF(Database!B406="","",Database!A406)</f>
        <v/>
      </c>
      <c r="D406" s="30">
        <f>IF(Database!B406="","",Database!D406)</f>
        <v/>
      </c>
      <c r="E406" s="30">
        <f>IF(Database!B406="","",Database!E406)</f>
        <v/>
      </c>
      <c r="F406" s="30">
        <f>IF(Database!B406="","",Database!F406)</f>
        <v/>
      </c>
      <c r="G406" s="30">
        <f>IF(Database!B406="","",Database!G406)</f>
        <v/>
      </c>
      <c r="H406" s="30">
        <f>IF(Database!B406="","",Database!C406)</f>
        <v/>
      </c>
      <c r="I406" s="30">
        <f>IF(Database!B406="","",Database!H406)</f>
        <v/>
      </c>
      <c r="J406" s="31" t="n"/>
      <c r="K406" s="88" t="n"/>
      <c r="L406" s="31" t="n"/>
      <c r="M406" s="31" t="n"/>
      <c r="N406" s="31" t="n"/>
      <c r="O406" s="32" t="n"/>
    </row>
    <row r="407">
      <c r="A407" s="30">
        <f>IF(Database!B407="","",ROW()-1)</f>
        <v/>
      </c>
      <c r="B407" s="30">
        <f>IF(Database!B407="","",Database!B407)</f>
        <v/>
      </c>
      <c r="C407" s="87">
        <f>IF(Database!B407="","",Database!A407)</f>
        <v/>
      </c>
      <c r="D407" s="30">
        <f>IF(Database!B407="","",Database!D407)</f>
        <v/>
      </c>
      <c r="E407" s="30">
        <f>IF(Database!B407="","",Database!E407)</f>
        <v/>
      </c>
      <c r="F407" s="30">
        <f>IF(Database!B407="","",Database!F407)</f>
        <v/>
      </c>
      <c r="G407" s="30">
        <f>IF(Database!B407="","",Database!G407)</f>
        <v/>
      </c>
      <c r="H407" s="30">
        <f>IF(Database!B407="","",Database!C407)</f>
        <v/>
      </c>
      <c r="I407" s="30">
        <f>IF(Database!B407="","",Database!H407)</f>
        <v/>
      </c>
      <c r="J407" s="31" t="n"/>
      <c r="K407" s="88" t="n"/>
      <c r="L407" s="31" t="n"/>
      <c r="M407" s="31" t="n"/>
      <c r="N407" s="31" t="n"/>
      <c r="O407" s="32" t="n"/>
    </row>
    <row r="408">
      <c r="A408" s="30">
        <f>IF(Database!B408="","",ROW()-1)</f>
        <v/>
      </c>
      <c r="B408" s="30">
        <f>IF(Database!B408="","",Database!B408)</f>
        <v/>
      </c>
      <c r="C408" s="87">
        <f>IF(Database!B408="","",Database!A408)</f>
        <v/>
      </c>
      <c r="D408" s="30">
        <f>IF(Database!B408="","",Database!D408)</f>
        <v/>
      </c>
      <c r="E408" s="30">
        <f>IF(Database!B408="","",Database!E408)</f>
        <v/>
      </c>
      <c r="F408" s="30">
        <f>IF(Database!B408="","",Database!F408)</f>
        <v/>
      </c>
      <c r="G408" s="30">
        <f>IF(Database!B408="","",Database!G408)</f>
        <v/>
      </c>
      <c r="H408" s="30">
        <f>IF(Database!B408="","",Database!C408)</f>
        <v/>
      </c>
      <c r="I408" s="30">
        <f>IF(Database!B408="","",Database!H408)</f>
        <v/>
      </c>
      <c r="J408" s="31" t="n"/>
      <c r="K408" s="88" t="n"/>
      <c r="L408" s="31" t="n"/>
      <c r="M408" s="31" t="n"/>
      <c r="N408" s="31" t="n"/>
      <c r="O408" s="32" t="n"/>
    </row>
    <row r="409">
      <c r="A409" s="30">
        <f>IF(Database!B409="","",ROW()-1)</f>
        <v/>
      </c>
      <c r="B409" s="30">
        <f>IF(Database!B409="","",Database!B409)</f>
        <v/>
      </c>
      <c r="C409" s="87">
        <f>IF(Database!B409="","",Database!A409)</f>
        <v/>
      </c>
      <c r="D409" s="30">
        <f>IF(Database!B409="","",Database!D409)</f>
        <v/>
      </c>
      <c r="E409" s="30">
        <f>IF(Database!B409="","",Database!E409)</f>
        <v/>
      </c>
      <c r="F409" s="30">
        <f>IF(Database!B409="","",Database!F409)</f>
        <v/>
      </c>
      <c r="G409" s="30">
        <f>IF(Database!B409="","",Database!G409)</f>
        <v/>
      </c>
      <c r="H409" s="30">
        <f>IF(Database!B409="","",Database!C409)</f>
        <v/>
      </c>
      <c r="I409" s="30">
        <f>IF(Database!B409="","",Database!H409)</f>
        <v/>
      </c>
      <c r="J409" s="31" t="n"/>
      <c r="K409" s="88" t="n"/>
      <c r="L409" s="31" t="n"/>
      <c r="M409" s="31" t="n"/>
      <c r="N409" s="31" t="n"/>
      <c r="O409" s="32" t="n"/>
    </row>
    <row r="410">
      <c r="A410" s="30">
        <f>IF(Database!B410="","",ROW()-1)</f>
        <v/>
      </c>
      <c r="B410" s="30">
        <f>IF(Database!B410="","",Database!B410)</f>
        <v/>
      </c>
      <c r="C410" s="87">
        <f>IF(Database!B410="","",Database!A410)</f>
        <v/>
      </c>
      <c r="D410" s="30">
        <f>IF(Database!B410="","",Database!D410)</f>
        <v/>
      </c>
      <c r="E410" s="30">
        <f>IF(Database!B410="","",Database!E410)</f>
        <v/>
      </c>
      <c r="F410" s="30">
        <f>IF(Database!B410="","",Database!F410)</f>
        <v/>
      </c>
      <c r="G410" s="30">
        <f>IF(Database!B410="","",Database!G410)</f>
        <v/>
      </c>
      <c r="H410" s="30">
        <f>IF(Database!B410="","",Database!C410)</f>
        <v/>
      </c>
      <c r="I410" s="30">
        <f>IF(Database!B410="","",Database!H410)</f>
        <v/>
      </c>
      <c r="J410" s="31" t="n"/>
      <c r="K410" s="88" t="n"/>
      <c r="L410" s="31" t="n"/>
      <c r="M410" s="31" t="n"/>
      <c r="N410" s="31" t="n"/>
      <c r="O410" s="32" t="n"/>
    </row>
    <row r="411">
      <c r="A411" s="30">
        <f>IF(Database!B411="","",ROW()-1)</f>
        <v/>
      </c>
      <c r="B411" s="30">
        <f>IF(Database!B411="","",Database!B411)</f>
        <v/>
      </c>
      <c r="C411" s="87">
        <f>IF(Database!B411="","",Database!A411)</f>
        <v/>
      </c>
      <c r="D411" s="30">
        <f>IF(Database!B411="","",Database!D411)</f>
        <v/>
      </c>
      <c r="E411" s="30">
        <f>IF(Database!B411="","",Database!E411)</f>
        <v/>
      </c>
      <c r="F411" s="30">
        <f>IF(Database!B411="","",Database!F411)</f>
        <v/>
      </c>
      <c r="G411" s="30">
        <f>IF(Database!B411="","",Database!G411)</f>
        <v/>
      </c>
      <c r="H411" s="30">
        <f>IF(Database!B411="","",Database!C411)</f>
        <v/>
      </c>
      <c r="I411" s="30">
        <f>IF(Database!B411="","",Database!H411)</f>
        <v/>
      </c>
      <c r="J411" s="31" t="n"/>
      <c r="K411" s="88" t="n"/>
      <c r="L411" s="31" t="n"/>
      <c r="M411" s="31" t="n"/>
      <c r="N411" s="31" t="n"/>
      <c r="O411" s="32" t="n"/>
    </row>
    <row r="412">
      <c r="A412" s="30">
        <f>IF(Database!B412="","",ROW()-1)</f>
        <v/>
      </c>
      <c r="B412" s="30">
        <f>IF(Database!B412="","",Database!B412)</f>
        <v/>
      </c>
      <c r="C412" s="87">
        <f>IF(Database!B412="","",Database!A412)</f>
        <v/>
      </c>
      <c r="D412" s="30">
        <f>IF(Database!B412="","",Database!D412)</f>
        <v/>
      </c>
      <c r="E412" s="30">
        <f>IF(Database!B412="","",Database!E412)</f>
        <v/>
      </c>
      <c r="F412" s="30">
        <f>IF(Database!B412="","",Database!F412)</f>
        <v/>
      </c>
      <c r="G412" s="30">
        <f>IF(Database!B412="","",Database!G412)</f>
        <v/>
      </c>
      <c r="H412" s="30">
        <f>IF(Database!B412="","",Database!C412)</f>
        <v/>
      </c>
      <c r="I412" s="30">
        <f>IF(Database!B412="","",Database!H412)</f>
        <v/>
      </c>
      <c r="J412" s="31" t="n"/>
      <c r="K412" s="88" t="n"/>
      <c r="L412" s="31" t="n"/>
      <c r="M412" s="31" t="n"/>
      <c r="N412" s="31" t="n"/>
      <c r="O412" s="32" t="n"/>
    </row>
    <row r="413">
      <c r="A413" s="30">
        <f>IF(Database!B413="","",ROW()-1)</f>
        <v/>
      </c>
      <c r="B413" s="30">
        <f>IF(Database!B413="","",Database!B413)</f>
        <v/>
      </c>
      <c r="C413" s="87">
        <f>IF(Database!B413="","",Database!A413)</f>
        <v/>
      </c>
      <c r="D413" s="30">
        <f>IF(Database!B413="","",Database!D413)</f>
        <v/>
      </c>
      <c r="E413" s="30">
        <f>IF(Database!B413="","",Database!E413)</f>
        <v/>
      </c>
      <c r="F413" s="30">
        <f>IF(Database!B413="","",Database!F413)</f>
        <v/>
      </c>
      <c r="G413" s="30">
        <f>IF(Database!B413="","",Database!G413)</f>
        <v/>
      </c>
      <c r="H413" s="30">
        <f>IF(Database!B413="","",Database!C413)</f>
        <v/>
      </c>
      <c r="I413" s="30">
        <f>IF(Database!B413="","",Database!H413)</f>
        <v/>
      </c>
      <c r="J413" s="31" t="n"/>
      <c r="K413" s="88" t="n"/>
      <c r="L413" s="31" t="n"/>
      <c r="M413" s="31" t="n"/>
      <c r="N413" s="31" t="n"/>
      <c r="O413" s="32" t="n"/>
    </row>
    <row r="414">
      <c r="A414" s="30">
        <f>IF(Database!B414="","",ROW()-1)</f>
        <v/>
      </c>
      <c r="B414" s="30">
        <f>IF(Database!B414="","",Database!B414)</f>
        <v/>
      </c>
      <c r="C414" s="87">
        <f>IF(Database!B414="","",Database!A414)</f>
        <v/>
      </c>
      <c r="D414" s="30">
        <f>IF(Database!B414="","",Database!D414)</f>
        <v/>
      </c>
      <c r="E414" s="30">
        <f>IF(Database!B414="","",Database!E414)</f>
        <v/>
      </c>
      <c r="F414" s="30">
        <f>IF(Database!B414="","",Database!F414)</f>
        <v/>
      </c>
      <c r="G414" s="30">
        <f>IF(Database!B414="","",Database!G414)</f>
        <v/>
      </c>
      <c r="H414" s="30">
        <f>IF(Database!B414="","",Database!C414)</f>
        <v/>
      </c>
      <c r="I414" s="30">
        <f>IF(Database!B414="","",Database!H414)</f>
        <v/>
      </c>
      <c r="J414" s="31" t="n"/>
      <c r="K414" s="88" t="n"/>
      <c r="L414" s="31" t="n"/>
      <c r="M414" s="31" t="n"/>
      <c r="N414" s="31" t="n"/>
      <c r="O414" s="32" t="n"/>
    </row>
    <row r="415">
      <c r="A415" s="30">
        <f>IF(Database!B415="","",ROW()-1)</f>
        <v/>
      </c>
      <c r="B415" s="30">
        <f>IF(Database!B415="","",Database!B415)</f>
        <v/>
      </c>
      <c r="C415" s="87">
        <f>IF(Database!B415="","",Database!A415)</f>
        <v/>
      </c>
      <c r="D415" s="30">
        <f>IF(Database!B415="","",Database!D415)</f>
        <v/>
      </c>
      <c r="E415" s="30">
        <f>IF(Database!B415="","",Database!E415)</f>
        <v/>
      </c>
      <c r="F415" s="30">
        <f>IF(Database!B415="","",Database!F415)</f>
        <v/>
      </c>
      <c r="G415" s="30">
        <f>IF(Database!B415="","",Database!G415)</f>
        <v/>
      </c>
      <c r="H415" s="30">
        <f>IF(Database!B415="","",Database!C415)</f>
        <v/>
      </c>
      <c r="I415" s="30">
        <f>IF(Database!B415="","",Database!H415)</f>
        <v/>
      </c>
      <c r="J415" s="31" t="n"/>
      <c r="K415" s="88" t="n"/>
      <c r="L415" s="31" t="n"/>
      <c r="M415" s="31" t="n"/>
      <c r="N415" s="31" t="n"/>
      <c r="O415" s="32" t="n"/>
    </row>
    <row r="416">
      <c r="A416" s="30">
        <f>IF(Database!B416="","",ROW()-1)</f>
        <v/>
      </c>
      <c r="B416" s="30">
        <f>IF(Database!B416="","",Database!B416)</f>
        <v/>
      </c>
      <c r="C416" s="87">
        <f>IF(Database!B416="","",Database!A416)</f>
        <v/>
      </c>
      <c r="D416" s="30">
        <f>IF(Database!B416="","",Database!D416)</f>
        <v/>
      </c>
      <c r="E416" s="30">
        <f>IF(Database!B416="","",Database!E416)</f>
        <v/>
      </c>
      <c r="F416" s="30">
        <f>IF(Database!B416="","",Database!F416)</f>
        <v/>
      </c>
      <c r="G416" s="30">
        <f>IF(Database!B416="","",Database!G416)</f>
        <v/>
      </c>
      <c r="H416" s="30">
        <f>IF(Database!B416="","",Database!C416)</f>
        <v/>
      </c>
      <c r="I416" s="30">
        <f>IF(Database!B416="","",Database!H416)</f>
        <v/>
      </c>
      <c r="J416" s="31" t="n"/>
      <c r="K416" s="88" t="n"/>
      <c r="L416" s="31" t="n"/>
      <c r="M416" s="31" t="n"/>
      <c r="N416" s="31" t="n"/>
      <c r="O416" s="32" t="n"/>
    </row>
    <row r="417">
      <c r="A417" s="30">
        <f>IF(Database!B417="","",ROW()-1)</f>
        <v/>
      </c>
      <c r="B417" s="30">
        <f>IF(Database!B417="","",Database!B417)</f>
        <v/>
      </c>
      <c r="C417" s="87">
        <f>IF(Database!B417="","",Database!A417)</f>
        <v/>
      </c>
      <c r="D417" s="30">
        <f>IF(Database!B417="","",Database!D417)</f>
        <v/>
      </c>
      <c r="E417" s="30">
        <f>IF(Database!B417="","",Database!E417)</f>
        <v/>
      </c>
      <c r="F417" s="30">
        <f>IF(Database!B417="","",Database!F417)</f>
        <v/>
      </c>
      <c r="G417" s="30">
        <f>IF(Database!B417="","",Database!G417)</f>
        <v/>
      </c>
      <c r="H417" s="30">
        <f>IF(Database!B417="","",Database!C417)</f>
        <v/>
      </c>
      <c r="I417" s="30">
        <f>IF(Database!B417="","",Database!H417)</f>
        <v/>
      </c>
      <c r="J417" s="31" t="n"/>
      <c r="K417" s="88" t="n"/>
      <c r="L417" s="31" t="n"/>
      <c r="M417" s="31" t="n"/>
      <c r="N417" s="31" t="n"/>
      <c r="O417" s="32" t="n"/>
    </row>
    <row r="418">
      <c r="A418" s="30">
        <f>IF(Database!B418="","",ROW()-1)</f>
        <v/>
      </c>
      <c r="B418" s="30">
        <f>IF(Database!B418="","",Database!B418)</f>
        <v/>
      </c>
      <c r="C418" s="87">
        <f>IF(Database!B418="","",Database!A418)</f>
        <v/>
      </c>
      <c r="D418" s="30">
        <f>IF(Database!B418="","",Database!D418)</f>
        <v/>
      </c>
      <c r="E418" s="30">
        <f>IF(Database!B418="","",Database!E418)</f>
        <v/>
      </c>
      <c r="F418" s="30">
        <f>IF(Database!B418="","",Database!F418)</f>
        <v/>
      </c>
      <c r="G418" s="30">
        <f>IF(Database!B418="","",Database!G418)</f>
        <v/>
      </c>
      <c r="H418" s="30">
        <f>IF(Database!B418="","",Database!C418)</f>
        <v/>
      </c>
      <c r="I418" s="30">
        <f>IF(Database!B418="","",Database!H418)</f>
        <v/>
      </c>
      <c r="J418" s="31" t="n"/>
      <c r="K418" s="88" t="n"/>
      <c r="L418" s="31" t="n"/>
      <c r="M418" s="31" t="n"/>
      <c r="N418" s="31" t="n"/>
      <c r="O418" s="32" t="n"/>
    </row>
    <row r="419">
      <c r="A419" s="30">
        <f>IF(Database!B419="","",ROW()-1)</f>
        <v/>
      </c>
      <c r="B419" s="30">
        <f>IF(Database!B419="","",Database!B419)</f>
        <v/>
      </c>
      <c r="C419" s="87">
        <f>IF(Database!B419="","",Database!A419)</f>
        <v/>
      </c>
      <c r="D419" s="30">
        <f>IF(Database!B419="","",Database!D419)</f>
        <v/>
      </c>
      <c r="E419" s="30">
        <f>IF(Database!B419="","",Database!E419)</f>
        <v/>
      </c>
      <c r="F419" s="30">
        <f>IF(Database!B419="","",Database!F419)</f>
        <v/>
      </c>
      <c r="G419" s="30">
        <f>IF(Database!B419="","",Database!G419)</f>
        <v/>
      </c>
      <c r="H419" s="30">
        <f>IF(Database!B419="","",Database!C419)</f>
        <v/>
      </c>
      <c r="I419" s="30">
        <f>IF(Database!B419="","",Database!H419)</f>
        <v/>
      </c>
      <c r="J419" s="31" t="n"/>
      <c r="K419" s="88" t="n"/>
      <c r="L419" s="31" t="n"/>
      <c r="M419" s="31" t="n"/>
      <c r="N419" s="31" t="n"/>
      <c r="O419" s="32" t="n"/>
    </row>
    <row r="420">
      <c r="A420" s="30">
        <f>IF(Database!B420="","",ROW()-1)</f>
        <v/>
      </c>
      <c r="B420" s="30">
        <f>IF(Database!B420="","",Database!B420)</f>
        <v/>
      </c>
      <c r="C420" s="87">
        <f>IF(Database!B420="","",Database!A420)</f>
        <v/>
      </c>
      <c r="D420" s="30">
        <f>IF(Database!B420="","",Database!D420)</f>
        <v/>
      </c>
      <c r="E420" s="30">
        <f>IF(Database!B420="","",Database!E420)</f>
        <v/>
      </c>
      <c r="F420" s="30">
        <f>IF(Database!B420="","",Database!F420)</f>
        <v/>
      </c>
      <c r="G420" s="30">
        <f>IF(Database!B420="","",Database!G420)</f>
        <v/>
      </c>
      <c r="H420" s="30">
        <f>IF(Database!B420="","",Database!C420)</f>
        <v/>
      </c>
      <c r="I420" s="30">
        <f>IF(Database!B420="","",Database!H420)</f>
        <v/>
      </c>
      <c r="J420" s="31" t="n"/>
      <c r="K420" s="88" t="n"/>
      <c r="L420" s="31" t="n"/>
      <c r="M420" s="31" t="n"/>
      <c r="N420" s="31" t="n"/>
      <c r="O420" s="32" t="n"/>
    </row>
    <row r="421">
      <c r="A421" s="30">
        <f>IF(Database!B421="","",ROW()-1)</f>
        <v/>
      </c>
      <c r="B421" s="30">
        <f>IF(Database!B421="","",Database!B421)</f>
        <v/>
      </c>
      <c r="C421" s="87">
        <f>IF(Database!B421="","",Database!A421)</f>
        <v/>
      </c>
      <c r="D421" s="30">
        <f>IF(Database!B421="","",Database!D421)</f>
        <v/>
      </c>
      <c r="E421" s="30">
        <f>IF(Database!B421="","",Database!E421)</f>
        <v/>
      </c>
      <c r="F421" s="30">
        <f>IF(Database!B421="","",Database!F421)</f>
        <v/>
      </c>
      <c r="G421" s="30">
        <f>IF(Database!B421="","",Database!G421)</f>
        <v/>
      </c>
      <c r="H421" s="30">
        <f>IF(Database!B421="","",Database!C421)</f>
        <v/>
      </c>
      <c r="I421" s="30">
        <f>IF(Database!B421="","",Database!H421)</f>
        <v/>
      </c>
      <c r="J421" s="31" t="n"/>
      <c r="K421" s="88" t="n"/>
      <c r="L421" s="31" t="n"/>
      <c r="M421" s="31" t="n"/>
      <c r="N421" s="31" t="n"/>
      <c r="O421" s="32" t="n"/>
    </row>
    <row r="422">
      <c r="A422" s="30">
        <f>IF(Database!B422="","",ROW()-1)</f>
        <v/>
      </c>
      <c r="B422" s="30">
        <f>IF(Database!B422="","",Database!B422)</f>
        <v/>
      </c>
      <c r="C422" s="87">
        <f>IF(Database!B422="","",Database!A422)</f>
        <v/>
      </c>
      <c r="D422" s="30">
        <f>IF(Database!B422="","",Database!D422)</f>
        <v/>
      </c>
      <c r="E422" s="30">
        <f>IF(Database!B422="","",Database!E422)</f>
        <v/>
      </c>
      <c r="F422" s="30">
        <f>IF(Database!B422="","",Database!F422)</f>
        <v/>
      </c>
      <c r="G422" s="30">
        <f>IF(Database!B422="","",Database!G422)</f>
        <v/>
      </c>
      <c r="H422" s="30">
        <f>IF(Database!B422="","",Database!C422)</f>
        <v/>
      </c>
      <c r="I422" s="30">
        <f>IF(Database!B422="","",Database!H422)</f>
        <v/>
      </c>
      <c r="J422" s="31" t="n"/>
      <c r="K422" s="88" t="n"/>
      <c r="L422" s="31" t="n"/>
      <c r="M422" s="31" t="n"/>
      <c r="N422" s="31" t="n"/>
      <c r="O422" s="32" t="n"/>
    </row>
    <row r="423">
      <c r="A423" s="30">
        <f>IF(Database!B423="","",ROW()-1)</f>
        <v/>
      </c>
      <c r="B423" s="30">
        <f>IF(Database!B423="","",Database!B423)</f>
        <v/>
      </c>
      <c r="C423" s="87">
        <f>IF(Database!B423="","",Database!A423)</f>
        <v/>
      </c>
      <c r="D423" s="30">
        <f>IF(Database!B423="","",Database!D423)</f>
        <v/>
      </c>
      <c r="E423" s="30">
        <f>IF(Database!B423="","",Database!E423)</f>
        <v/>
      </c>
      <c r="F423" s="30">
        <f>IF(Database!B423="","",Database!F423)</f>
        <v/>
      </c>
      <c r="G423" s="30">
        <f>IF(Database!B423="","",Database!G423)</f>
        <v/>
      </c>
      <c r="H423" s="30">
        <f>IF(Database!B423="","",Database!C423)</f>
        <v/>
      </c>
      <c r="I423" s="30">
        <f>IF(Database!B423="","",Database!H423)</f>
        <v/>
      </c>
      <c r="J423" s="31" t="n"/>
      <c r="K423" s="88" t="n"/>
      <c r="L423" s="31" t="n"/>
      <c r="M423" s="31" t="n"/>
      <c r="N423" s="31" t="n"/>
      <c r="O423" s="32" t="n"/>
    </row>
    <row r="424">
      <c r="A424" s="30">
        <f>IF(Database!B424="","",ROW()-1)</f>
        <v/>
      </c>
      <c r="B424" s="30">
        <f>IF(Database!B424="","",Database!B424)</f>
        <v/>
      </c>
      <c r="C424" s="87">
        <f>IF(Database!B424="","",Database!A424)</f>
        <v/>
      </c>
      <c r="D424" s="30">
        <f>IF(Database!B424="","",Database!D424)</f>
        <v/>
      </c>
      <c r="E424" s="30">
        <f>IF(Database!B424="","",Database!E424)</f>
        <v/>
      </c>
      <c r="F424" s="30">
        <f>IF(Database!B424="","",Database!F424)</f>
        <v/>
      </c>
      <c r="G424" s="30">
        <f>IF(Database!B424="","",Database!G424)</f>
        <v/>
      </c>
      <c r="H424" s="30">
        <f>IF(Database!B424="","",Database!C424)</f>
        <v/>
      </c>
      <c r="I424" s="30">
        <f>IF(Database!B424="","",Database!H424)</f>
        <v/>
      </c>
      <c r="J424" s="31" t="n"/>
      <c r="K424" s="88" t="n"/>
      <c r="L424" s="31" t="n"/>
      <c r="M424" s="31" t="n"/>
      <c r="N424" s="31" t="n"/>
      <c r="O424" s="32" t="n"/>
    </row>
    <row r="425">
      <c r="A425" s="30">
        <f>IF(Database!B425="","",ROW()-1)</f>
        <v/>
      </c>
      <c r="B425" s="30">
        <f>IF(Database!B425="","",Database!B425)</f>
        <v/>
      </c>
      <c r="C425" s="87">
        <f>IF(Database!B425="","",Database!A425)</f>
        <v/>
      </c>
      <c r="D425" s="30">
        <f>IF(Database!B425="","",Database!D425)</f>
        <v/>
      </c>
      <c r="E425" s="30">
        <f>IF(Database!B425="","",Database!E425)</f>
        <v/>
      </c>
      <c r="F425" s="30">
        <f>IF(Database!B425="","",Database!F425)</f>
        <v/>
      </c>
      <c r="G425" s="30">
        <f>IF(Database!B425="","",Database!G425)</f>
        <v/>
      </c>
      <c r="H425" s="30">
        <f>IF(Database!B425="","",Database!C425)</f>
        <v/>
      </c>
      <c r="I425" s="30">
        <f>IF(Database!B425="","",Database!H425)</f>
        <v/>
      </c>
      <c r="J425" s="31" t="n"/>
      <c r="K425" s="88" t="n"/>
      <c r="L425" s="31" t="n"/>
      <c r="M425" s="31" t="n"/>
      <c r="N425" s="31" t="n"/>
      <c r="O425" s="32" t="n"/>
    </row>
    <row r="426">
      <c r="A426" s="30">
        <f>IF(Database!B426="","",ROW()-1)</f>
        <v/>
      </c>
      <c r="B426" s="30">
        <f>IF(Database!B426="","",Database!B426)</f>
        <v/>
      </c>
      <c r="C426" s="87">
        <f>IF(Database!B426="","",Database!A426)</f>
        <v/>
      </c>
      <c r="D426" s="30">
        <f>IF(Database!B426="","",Database!D426)</f>
        <v/>
      </c>
      <c r="E426" s="30">
        <f>IF(Database!B426="","",Database!E426)</f>
        <v/>
      </c>
      <c r="F426" s="30">
        <f>IF(Database!B426="","",Database!F426)</f>
        <v/>
      </c>
      <c r="G426" s="30">
        <f>IF(Database!B426="","",Database!G426)</f>
        <v/>
      </c>
      <c r="H426" s="30">
        <f>IF(Database!B426="","",Database!C426)</f>
        <v/>
      </c>
      <c r="I426" s="30">
        <f>IF(Database!B426="","",Database!H426)</f>
        <v/>
      </c>
      <c r="J426" s="31" t="n"/>
      <c r="K426" s="88" t="n"/>
      <c r="L426" s="31" t="n"/>
      <c r="M426" s="31" t="n"/>
      <c r="N426" s="31" t="n"/>
      <c r="O426" s="32" t="n"/>
    </row>
    <row r="427">
      <c r="A427" s="30">
        <f>IF(Database!B427="","",ROW()-1)</f>
        <v/>
      </c>
      <c r="B427" s="30">
        <f>IF(Database!B427="","",Database!B427)</f>
        <v/>
      </c>
      <c r="C427" s="87">
        <f>IF(Database!B427="","",Database!A427)</f>
        <v/>
      </c>
      <c r="D427" s="30">
        <f>IF(Database!B427="","",Database!D427)</f>
        <v/>
      </c>
      <c r="E427" s="30">
        <f>IF(Database!B427="","",Database!E427)</f>
        <v/>
      </c>
      <c r="F427" s="30">
        <f>IF(Database!B427="","",Database!F427)</f>
        <v/>
      </c>
      <c r="G427" s="30">
        <f>IF(Database!B427="","",Database!G427)</f>
        <v/>
      </c>
      <c r="H427" s="30">
        <f>IF(Database!B427="","",Database!C427)</f>
        <v/>
      </c>
      <c r="I427" s="30">
        <f>IF(Database!B427="","",Database!H427)</f>
        <v/>
      </c>
      <c r="J427" s="31" t="n"/>
      <c r="K427" s="88" t="n"/>
      <c r="L427" s="31" t="n"/>
      <c r="M427" s="31" t="n"/>
      <c r="N427" s="31" t="n"/>
      <c r="O427" s="32" t="n"/>
    </row>
    <row r="428">
      <c r="A428" s="30">
        <f>IF(Database!B428="","",ROW()-1)</f>
        <v/>
      </c>
      <c r="B428" s="30">
        <f>IF(Database!B428="","",Database!B428)</f>
        <v/>
      </c>
      <c r="C428" s="87">
        <f>IF(Database!B428="","",Database!A428)</f>
        <v/>
      </c>
      <c r="D428" s="30">
        <f>IF(Database!B428="","",Database!D428)</f>
        <v/>
      </c>
      <c r="E428" s="30">
        <f>IF(Database!B428="","",Database!E428)</f>
        <v/>
      </c>
      <c r="F428" s="30">
        <f>IF(Database!B428="","",Database!F428)</f>
        <v/>
      </c>
      <c r="G428" s="30">
        <f>IF(Database!B428="","",Database!G428)</f>
        <v/>
      </c>
      <c r="H428" s="30">
        <f>IF(Database!B428="","",Database!C428)</f>
        <v/>
      </c>
      <c r="I428" s="30">
        <f>IF(Database!B428="","",Database!H428)</f>
        <v/>
      </c>
      <c r="J428" s="31" t="n"/>
      <c r="K428" s="88" t="n"/>
      <c r="L428" s="31" t="n"/>
      <c r="M428" s="31" t="n"/>
      <c r="N428" s="31" t="n"/>
      <c r="O428" s="32" t="n"/>
    </row>
    <row r="429">
      <c r="A429" s="30">
        <f>IF(Database!B429="","",ROW()-1)</f>
        <v/>
      </c>
      <c r="B429" s="30">
        <f>IF(Database!B429="","",Database!B429)</f>
        <v/>
      </c>
      <c r="C429" s="87">
        <f>IF(Database!B429="","",Database!A429)</f>
        <v/>
      </c>
      <c r="D429" s="30">
        <f>IF(Database!B429="","",Database!D429)</f>
        <v/>
      </c>
      <c r="E429" s="30">
        <f>IF(Database!B429="","",Database!E429)</f>
        <v/>
      </c>
      <c r="F429" s="30">
        <f>IF(Database!B429="","",Database!F429)</f>
        <v/>
      </c>
      <c r="G429" s="30">
        <f>IF(Database!B429="","",Database!G429)</f>
        <v/>
      </c>
      <c r="H429" s="30">
        <f>IF(Database!B429="","",Database!C429)</f>
        <v/>
      </c>
      <c r="I429" s="30">
        <f>IF(Database!B429="","",Database!H429)</f>
        <v/>
      </c>
      <c r="J429" s="31" t="n"/>
      <c r="K429" s="88" t="n"/>
      <c r="L429" s="31" t="n"/>
      <c r="M429" s="31" t="n"/>
      <c r="N429" s="31" t="n"/>
      <c r="O429" s="32" t="n"/>
    </row>
    <row r="430">
      <c r="A430" s="30">
        <f>IF(Database!B430="","",ROW()-1)</f>
        <v/>
      </c>
      <c r="B430" s="30">
        <f>IF(Database!B430="","",Database!B430)</f>
        <v/>
      </c>
      <c r="C430" s="87">
        <f>IF(Database!B430="","",Database!A430)</f>
        <v/>
      </c>
      <c r="D430" s="30">
        <f>IF(Database!B430="","",Database!D430)</f>
        <v/>
      </c>
      <c r="E430" s="30">
        <f>IF(Database!B430="","",Database!E430)</f>
        <v/>
      </c>
      <c r="F430" s="30">
        <f>IF(Database!B430="","",Database!F430)</f>
        <v/>
      </c>
      <c r="G430" s="30">
        <f>IF(Database!B430="","",Database!G430)</f>
        <v/>
      </c>
      <c r="H430" s="30">
        <f>IF(Database!B430="","",Database!C430)</f>
        <v/>
      </c>
      <c r="I430" s="30">
        <f>IF(Database!B430="","",Database!H430)</f>
        <v/>
      </c>
      <c r="J430" s="31" t="n"/>
      <c r="K430" s="88" t="n"/>
      <c r="L430" s="31" t="n"/>
      <c r="M430" s="31" t="n"/>
      <c r="N430" s="31" t="n"/>
      <c r="O430" s="32" t="n"/>
    </row>
    <row r="431">
      <c r="A431" s="30">
        <f>IF(Database!B431="","",ROW()-1)</f>
        <v/>
      </c>
      <c r="B431" s="30">
        <f>IF(Database!B431="","",Database!B431)</f>
        <v/>
      </c>
      <c r="C431" s="87">
        <f>IF(Database!B431="","",Database!A431)</f>
        <v/>
      </c>
      <c r="D431" s="30">
        <f>IF(Database!B431="","",Database!D431)</f>
        <v/>
      </c>
      <c r="E431" s="30">
        <f>IF(Database!B431="","",Database!E431)</f>
        <v/>
      </c>
      <c r="F431" s="30">
        <f>IF(Database!B431="","",Database!F431)</f>
        <v/>
      </c>
      <c r="G431" s="30">
        <f>IF(Database!B431="","",Database!G431)</f>
        <v/>
      </c>
      <c r="H431" s="30">
        <f>IF(Database!B431="","",Database!C431)</f>
        <v/>
      </c>
      <c r="I431" s="30">
        <f>IF(Database!B431="","",Database!H431)</f>
        <v/>
      </c>
      <c r="J431" s="31" t="n"/>
      <c r="K431" s="88" t="n"/>
      <c r="L431" s="31" t="n"/>
      <c r="M431" s="31" t="n"/>
      <c r="N431" s="31" t="n"/>
      <c r="O431" s="32" t="n"/>
    </row>
    <row r="432">
      <c r="A432" s="30">
        <f>IF(Database!B432="","",ROW()-1)</f>
        <v/>
      </c>
      <c r="B432" s="30">
        <f>IF(Database!B432="","",Database!B432)</f>
        <v/>
      </c>
      <c r="C432" s="87">
        <f>IF(Database!B432="","",Database!A432)</f>
        <v/>
      </c>
      <c r="D432" s="30">
        <f>IF(Database!B432="","",Database!D432)</f>
        <v/>
      </c>
      <c r="E432" s="30">
        <f>IF(Database!B432="","",Database!E432)</f>
        <v/>
      </c>
      <c r="F432" s="30">
        <f>IF(Database!B432="","",Database!F432)</f>
        <v/>
      </c>
      <c r="G432" s="30">
        <f>IF(Database!B432="","",Database!G432)</f>
        <v/>
      </c>
      <c r="H432" s="30">
        <f>IF(Database!B432="","",Database!C432)</f>
        <v/>
      </c>
      <c r="I432" s="30">
        <f>IF(Database!B432="","",Database!H432)</f>
        <v/>
      </c>
      <c r="J432" s="31" t="n"/>
      <c r="K432" s="88" t="n"/>
      <c r="L432" s="31" t="n"/>
      <c r="M432" s="31" t="n"/>
      <c r="N432" s="31" t="n"/>
      <c r="O432" s="32" t="n"/>
    </row>
    <row r="433">
      <c r="A433" s="30">
        <f>IF(Database!B433="","",ROW()-1)</f>
        <v/>
      </c>
      <c r="B433" s="30">
        <f>IF(Database!B433="","",Database!B433)</f>
        <v/>
      </c>
      <c r="C433" s="87">
        <f>IF(Database!B433="","",Database!A433)</f>
        <v/>
      </c>
      <c r="D433" s="30">
        <f>IF(Database!B433="","",Database!D433)</f>
        <v/>
      </c>
      <c r="E433" s="30">
        <f>IF(Database!B433="","",Database!E433)</f>
        <v/>
      </c>
      <c r="F433" s="30">
        <f>IF(Database!B433="","",Database!F433)</f>
        <v/>
      </c>
      <c r="G433" s="30">
        <f>IF(Database!B433="","",Database!G433)</f>
        <v/>
      </c>
      <c r="H433" s="30">
        <f>IF(Database!B433="","",Database!C433)</f>
        <v/>
      </c>
      <c r="I433" s="30">
        <f>IF(Database!B433="","",Database!H433)</f>
        <v/>
      </c>
      <c r="J433" s="31" t="n"/>
      <c r="K433" s="88" t="n"/>
      <c r="L433" s="31" t="n"/>
      <c r="M433" s="31" t="n"/>
      <c r="N433" s="31" t="n"/>
      <c r="O433" s="32" t="n"/>
    </row>
    <row r="434">
      <c r="A434" s="30">
        <f>IF(Database!B434="","",ROW()-1)</f>
        <v/>
      </c>
      <c r="B434" s="30">
        <f>IF(Database!B434="","",Database!B434)</f>
        <v/>
      </c>
      <c r="C434" s="87">
        <f>IF(Database!B434="","",Database!A434)</f>
        <v/>
      </c>
      <c r="D434" s="30">
        <f>IF(Database!B434="","",Database!D434)</f>
        <v/>
      </c>
      <c r="E434" s="30">
        <f>IF(Database!B434="","",Database!E434)</f>
        <v/>
      </c>
      <c r="F434" s="30">
        <f>IF(Database!B434="","",Database!F434)</f>
        <v/>
      </c>
      <c r="G434" s="30">
        <f>IF(Database!B434="","",Database!G434)</f>
        <v/>
      </c>
      <c r="H434" s="30">
        <f>IF(Database!B434="","",Database!C434)</f>
        <v/>
      </c>
      <c r="I434" s="30">
        <f>IF(Database!B434="","",Database!H434)</f>
        <v/>
      </c>
      <c r="J434" s="31" t="n"/>
      <c r="K434" s="88" t="n"/>
      <c r="L434" s="31" t="n"/>
      <c r="M434" s="31" t="n"/>
      <c r="N434" s="31" t="n"/>
      <c r="O434" s="32" t="n"/>
    </row>
    <row r="435">
      <c r="A435" s="30">
        <f>IF(Database!B435="","",ROW()-1)</f>
        <v/>
      </c>
      <c r="B435" s="30">
        <f>IF(Database!B435="","",Database!B435)</f>
        <v/>
      </c>
      <c r="C435" s="87">
        <f>IF(Database!B435="","",Database!A435)</f>
        <v/>
      </c>
      <c r="D435" s="30">
        <f>IF(Database!B435="","",Database!D435)</f>
        <v/>
      </c>
      <c r="E435" s="30">
        <f>IF(Database!B435="","",Database!E435)</f>
        <v/>
      </c>
      <c r="F435" s="30">
        <f>IF(Database!B435="","",Database!F435)</f>
        <v/>
      </c>
      <c r="G435" s="30">
        <f>IF(Database!B435="","",Database!G435)</f>
        <v/>
      </c>
      <c r="H435" s="30">
        <f>IF(Database!B435="","",Database!C435)</f>
        <v/>
      </c>
      <c r="I435" s="30">
        <f>IF(Database!B435="","",Database!H435)</f>
        <v/>
      </c>
      <c r="J435" s="31" t="n"/>
      <c r="K435" s="88" t="n"/>
      <c r="L435" s="31" t="n"/>
      <c r="M435" s="31" t="n"/>
      <c r="N435" s="31" t="n"/>
      <c r="O435" s="32" t="n"/>
    </row>
    <row r="436">
      <c r="A436" s="30">
        <f>IF(Database!B436="","",ROW()-1)</f>
        <v/>
      </c>
      <c r="B436" s="30">
        <f>IF(Database!B436="","",Database!B436)</f>
        <v/>
      </c>
      <c r="C436" s="87">
        <f>IF(Database!B436="","",Database!A436)</f>
        <v/>
      </c>
      <c r="D436" s="30">
        <f>IF(Database!B436="","",Database!D436)</f>
        <v/>
      </c>
      <c r="E436" s="30">
        <f>IF(Database!B436="","",Database!E436)</f>
        <v/>
      </c>
      <c r="F436" s="30">
        <f>IF(Database!B436="","",Database!F436)</f>
        <v/>
      </c>
      <c r="G436" s="30">
        <f>IF(Database!B436="","",Database!G436)</f>
        <v/>
      </c>
      <c r="H436" s="30">
        <f>IF(Database!B436="","",Database!C436)</f>
        <v/>
      </c>
      <c r="I436" s="30">
        <f>IF(Database!B436="","",Database!H436)</f>
        <v/>
      </c>
      <c r="J436" s="31" t="n"/>
      <c r="K436" s="88" t="n"/>
      <c r="L436" s="31" t="n"/>
      <c r="M436" s="31" t="n"/>
      <c r="N436" s="31" t="n"/>
      <c r="O436" s="32" t="n"/>
    </row>
    <row r="437">
      <c r="A437" s="30">
        <f>IF(Database!B437="","",ROW()-1)</f>
        <v/>
      </c>
      <c r="B437" s="30">
        <f>IF(Database!B437="","",Database!B437)</f>
        <v/>
      </c>
      <c r="C437" s="87">
        <f>IF(Database!B437="","",Database!A437)</f>
        <v/>
      </c>
      <c r="D437" s="30">
        <f>IF(Database!B437="","",Database!D437)</f>
        <v/>
      </c>
      <c r="E437" s="30">
        <f>IF(Database!B437="","",Database!E437)</f>
        <v/>
      </c>
      <c r="F437" s="30">
        <f>IF(Database!B437="","",Database!F437)</f>
        <v/>
      </c>
      <c r="G437" s="30">
        <f>IF(Database!B437="","",Database!G437)</f>
        <v/>
      </c>
      <c r="H437" s="30">
        <f>IF(Database!B437="","",Database!C437)</f>
        <v/>
      </c>
      <c r="I437" s="30">
        <f>IF(Database!B437="","",Database!H437)</f>
        <v/>
      </c>
      <c r="J437" s="31" t="n"/>
      <c r="K437" s="88" t="n"/>
      <c r="L437" s="31" t="n"/>
      <c r="M437" s="31" t="n"/>
      <c r="N437" s="31" t="n"/>
      <c r="O437" s="32" t="n"/>
    </row>
    <row r="438">
      <c r="A438" s="30">
        <f>IF(Database!B438="","",ROW()-1)</f>
        <v/>
      </c>
      <c r="B438" s="30">
        <f>IF(Database!B438="","",Database!B438)</f>
        <v/>
      </c>
      <c r="C438" s="87">
        <f>IF(Database!B438="","",Database!A438)</f>
        <v/>
      </c>
      <c r="D438" s="30">
        <f>IF(Database!B438="","",Database!D438)</f>
        <v/>
      </c>
      <c r="E438" s="30">
        <f>IF(Database!B438="","",Database!E438)</f>
        <v/>
      </c>
      <c r="F438" s="30">
        <f>IF(Database!B438="","",Database!F438)</f>
        <v/>
      </c>
      <c r="G438" s="30">
        <f>IF(Database!B438="","",Database!G438)</f>
        <v/>
      </c>
      <c r="H438" s="30">
        <f>IF(Database!B438="","",Database!C438)</f>
        <v/>
      </c>
      <c r="I438" s="30">
        <f>IF(Database!B438="","",Database!H438)</f>
        <v/>
      </c>
      <c r="J438" s="31" t="n"/>
      <c r="K438" s="88" t="n"/>
      <c r="L438" s="31" t="n"/>
      <c r="M438" s="31" t="n"/>
      <c r="N438" s="31" t="n"/>
      <c r="O438" s="32" t="n"/>
    </row>
    <row r="439">
      <c r="A439" s="30">
        <f>IF(Database!B439="","",ROW()-1)</f>
        <v/>
      </c>
      <c r="B439" s="30">
        <f>IF(Database!B439="","",Database!B439)</f>
        <v/>
      </c>
      <c r="C439" s="87">
        <f>IF(Database!B439="","",Database!A439)</f>
        <v/>
      </c>
      <c r="D439" s="30">
        <f>IF(Database!B439="","",Database!D439)</f>
        <v/>
      </c>
      <c r="E439" s="30">
        <f>IF(Database!B439="","",Database!E439)</f>
        <v/>
      </c>
      <c r="F439" s="30">
        <f>IF(Database!B439="","",Database!F439)</f>
        <v/>
      </c>
      <c r="G439" s="30">
        <f>IF(Database!B439="","",Database!G439)</f>
        <v/>
      </c>
      <c r="H439" s="30">
        <f>IF(Database!B439="","",Database!C439)</f>
        <v/>
      </c>
      <c r="I439" s="30">
        <f>IF(Database!B439="","",Database!H439)</f>
        <v/>
      </c>
      <c r="J439" s="31" t="n"/>
      <c r="K439" s="88" t="n"/>
      <c r="L439" s="31" t="n"/>
      <c r="M439" s="31" t="n"/>
      <c r="N439" s="31" t="n"/>
      <c r="O439" s="32" t="n"/>
    </row>
    <row r="440">
      <c r="A440" s="30">
        <f>IF(Database!B440="","",ROW()-1)</f>
        <v/>
      </c>
      <c r="B440" s="30">
        <f>IF(Database!B440="","",Database!B440)</f>
        <v/>
      </c>
      <c r="C440" s="87">
        <f>IF(Database!B440="","",Database!A440)</f>
        <v/>
      </c>
      <c r="D440" s="30">
        <f>IF(Database!B440="","",Database!D440)</f>
        <v/>
      </c>
      <c r="E440" s="30">
        <f>IF(Database!B440="","",Database!E440)</f>
        <v/>
      </c>
      <c r="F440" s="30">
        <f>IF(Database!B440="","",Database!F440)</f>
        <v/>
      </c>
      <c r="G440" s="30">
        <f>IF(Database!B440="","",Database!G440)</f>
        <v/>
      </c>
      <c r="H440" s="30">
        <f>IF(Database!B440="","",Database!C440)</f>
        <v/>
      </c>
      <c r="I440" s="30">
        <f>IF(Database!B440="","",Database!H440)</f>
        <v/>
      </c>
      <c r="J440" s="31" t="n"/>
      <c r="K440" s="88" t="n"/>
      <c r="L440" s="31" t="n"/>
      <c r="M440" s="31" t="n"/>
      <c r="N440" s="31" t="n"/>
      <c r="O440" s="32" t="n"/>
    </row>
    <row r="441">
      <c r="A441" s="30">
        <f>IF(Database!B441="","",ROW()-1)</f>
        <v/>
      </c>
      <c r="B441" s="30">
        <f>IF(Database!B441="","",Database!B441)</f>
        <v/>
      </c>
      <c r="C441" s="87">
        <f>IF(Database!B441="","",Database!A441)</f>
        <v/>
      </c>
      <c r="D441" s="30">
        <f>IF(Database!B441="","",Database!D441)</f>
        <v/>
      </c>
      <c r="E441" s="30">
        <f>IF(Database!B441="","",Database!E441)</f>
        <v/>
      </c>
      <c r="F441" s="30">
        <f>IF(Database!B441="","",Database!F441)</f>
        <v/>
      </c>
      <c r="G441" s="30">
        <f>IF(Database!B441="","",Database!G441)</f>
        <v/>
      </c>
      <c r="H441" s="30">
        <f>IF(Database!B441="","",Database!C441)</f>
        <v/>
      </c>
      <c r="I441" s="30">
        <f>IF(Database!B441="","",Database!H441)</f>
        <v/>
      </c>
      <c r="J441" s="31" t="n"/>
      <c r="K441" s="88" t="n"/>
      <c r="L441" s="31" t="n"/>
      <c r="M441" s="31" t="n"/>
      <c r="N441" s="31" t="n"/>
      <c r="O441" s="32" t="n"/>
    </row>
    <row r="442">
      <c r="A442" s="30">
        <f>IF(Database!B442="","",ROW()-1)</f>
        <v/>
      </c>
      <c r="B442" s="30">
        <f>IF(Database!B442="","",Database!B442)</f>
        <v/>
      </c>
      <c r="C442" s="87">
        <f>IF(Database!B442="","",Database!A442)</f>
        <v/>
      </c>
      <c r="D442" s="30">
        <f>IF(Database!B442="","",Database!D442)</f>
        <v/>
      </c>
      <c r="E442" s="30">
        <f>IF(Database!B442="","",Database!E442)</f>
        <v/>
      </c>
      <c r="F442" s="30">
        <f>IF(Database!B442="","",Database!F442)</f>
        <v/>
      </c>
      <c r="G442" s="30">
        <f>IF(Database!B442="","",Database!G442)</f>
        <v/>
      </c>
      <c r="H442" s="30">
        <f>IF(Database!B442="","",Database!C442)</f>
        <v/>
      </c>
      <c r="I442" s="30">
        <f>IF(Database!B442="","",Database!H442)</f>
        <v/>
      </c>
      <c r="J442" s="31" t="n"/>
      <c r="K442" s="88" t="n"/>
      <c r="L442" s="31" t="n"/>
      <c r="M442" s="31" t="n"/>
      <c r="N442" s="31" t="n"/>
      <c r="O442" s="32" t="n"/>
    </row>
    <row r="443">
      <c r="A443" s="30">
        <f>IF(Database!B443="","",ROW()-1)</f>
        <v/>
      </c>
      <c r="B443" s="30">
        <f>IF(Database!B443="","",Database!B443)</f>
        <v/>
      </c>
      <c r="C443" s="87">
        <f>IF(Database!B443="","",Database!A443)</f>
        <v/>
      </c>
      <c r="D443" s="30">
        <f>IF(Database!B443="","",Database!D443)</f>
        <v/>
      </c>
      <c r="E443" s="30">
        <f>IF(Database!B443="","",Database!E443)</f>
        <v/>
      </c>
      <c r="F443" s="30">
        <f>IF(Database!B443="","",Database!F443)</f>
        <v/>
      </c>
      <c r="G443" s="30">
        <f>IF(Database!B443="","",Database!G443)</f>
        <v/>
      </c>
      <c r="H443" s="30">
        <f>IF(Database!B443="","",Database!C443)</f>
        <v/>
      </c>
      <c r="I443" s="30">
        <f>IF(Database!B443="","",Database!H443)</f>
        <v/>
      </c>
      <c r="J443" s="31" t="n"/>
      <c r="K443" s="88" t="n"/>
      <c r="L443" s="31" t="n"/>
      <c r="M443" s="31" t="n"/>
      <c r="N443" s="31" t="n"/>
      <c r="O443" s="32" t="n"/>
    </row>
    <row r="444">
      <c r="A444" s="30">
        <f>IF(Database!B444="","",ROW()-1)</f>
        <v/>
      </c>
      <c r="B444" s="30">
        <f>IF(Database!B444="","",Database!B444)</f>
        <v/>
      </c>
      <c r="C444" s="87">
        <f>IF(Database!B444="","",Database!A444)</f>
        <v/>
      </c>
      <c r="D444" s="30">
        <f>IF(Database!B444="","",Database!D444)</f>
        <v/>
      </c>
      <c r="E444" s="30">
        <f>IF(Database!B444="","",Database!E444)</f>
        <v/>
      </c>
      <c r="F444" s="30">
        <f>IF(Database!B444="","",Database!F444)</f>
        <v/>
      </c>
      <c r="G444" s="30">
        <f>IF(Database!B444="","",Database!G444)</f>
        <v/>
      </c>
      <c r="H444" s="30">
        <f>IF(Database!B444="","",Database!C444)</f>
        <v/>
      </c>
      <c r="I444" s="30">
        <f>IF(Database!B444="","",Database!H444)</f>
        <v/>
      </c>
      <c r="J444" s="31" t="n"/>
      <c r="K444" s="88" t="n"/>
      <c r="L444" s="31" t="n"/>
      <c r="M444" s="31" t="n"/>
      <c r="N444" s="31" t="n"/>
      <c r="O444" s="32" t="n"/>
    </row>
    <row r="445">
      <c r="A445" s="30">
        <f>IF(Database!B445="","",ROW()-1)</f>
        <v/>
      </c>
      <c r="B445" s="30">
        <f>IF(Database!B445="","",Database!B445)</f>
        <v/>
      </c>
      <c r="C445" s="87">
        <f>IF(Database!B445="","",Database!A445)</f>
        <v/>
      </c>
      <c r="D445" s="30">
        <f>IF(Database!B445="","",Database!D445)</f>
        <v/>
      </c>
      <c r="E445" s="30">
        <f>IF(Database!B445="","",Database!E445)</f>
        <v/>
      </c>
      <c r="F445" s="30">
        <f>IF(Database!B445="","",Database!F445)</f>
        <v/>
      </c>
      <c r="G445" s="30">
        <f>IF(Database!B445="","",Database!G445)</f>
        <v/>
      </c>
      <c r="H445" s="30">
        <f>IF(Database!B445="","",Database!C445)</f>
        <v/>
      </c>
      <c r="I445" s="30">
        <f>IF(Database!B445="","",Database!H445)</f>
        <v/>
      </c>
      <c r="J445" s="31" t="n"/>
      <c r="K445" s="88" t="n"/>
      <c r="L445" s="31" t="n"/>
      <c r="M445" s="31" t="n"/>
      <c r="N445" s="31" t="n"/>
      <c r="O445" s="32" t="n"/>
    </row>
    <row r="446">
      <c r="A446" s="30">
        <f>IF(Database!B446="","",ROW()-1)</f>
        <v/>
      </c>
      <c r="B446" s="30">
        <f>IF(Database!B446="","",Database!B446)</f>
        <v/>
      </c>
      <c r="C446" s="87">
        <f>IF(Database!B446="","",Database!A446)</f>
        <v/>
      </c>
      <c r="D446" s="30">
        <f>IF(Database!B446="","",Database!D446)</f>
        <v/>
      </c>
      <c r="E446" s="30">
        <f>IF(Database!B446="","",Database!E446)</f>
        <v/>
      </c>
      <c r="F446" s="30">
        <f>IF(Database!B446="","",Database!F446)</f>
        <v/>
      </c>
      <c r="G446" s="30">
        <f>IF(Database!B446="","",Database!G446)</f>
        <v/>
      </c>
      <c r="H446" s="30">
        <f>IF(Database!B446="","",Database!C446)</f>
        <v/>
      </c>
      <c r="I446" s="30">
        <f>IF(Database!B446="","",Database!H446)</f>
        <v/>
      </c>
      <c r="J446" s="31" t="n"/>
      <c r="K446" s="88" t="n"/>
      <c r="L446" s="31" t="n"/>
      <c r="M446" s="31" t="n"/>
      <c r="N446" s="31" t="n"/>
      <c r="O446" s="32" t="n"/>
    </row>
    <row r="447">
      <c r="A447" s="30">
        <f>IF(Database!B447="","",ROW()-1)</f>
        <v/>
      </c>
      <c r="B447" s="30">
        <f>IF(Database!B447="","",Database!B447)</f>
        <v/>
      </c>
      <c r="C447" s="87">
        <f>IF(Database!B447="","",Database!A447)</f>
        <v/>
      </c>
      <c r="D447" s="30">
        <f>IF(Database!B447="","",Database!D447)</f>
        <v/>
      </c>
      <c r="E447" s="30">
        <f>IF(Database!B447="","",Database!E447)</f>
        <v/>
      </c>
      <c r="F447" s="30">
        <f>IF(Database!B447="","",Database!F447)</f>
        <v/>
      </c>
      <c r="G447" s="30">
        <f>IF(Database!B447="","",Database!G447)</f>
        <v/>
      </c>
      <c r="H447" s="30">
        <f>IF(Database!B447="","",Database!C447)</f>
        <v/>
      </c>
      <c r="I447" s="30">
        <f>IF(Database!B447="","",Database!H447)</f>
        <v/>
      </c>
      <c r="J447" s="31" t="n"/>
      <c r="K447" s="88" t="n"/>
      <c r="L447" s="31" t="n"/>
      <c r="M447" s="31" t="n"/>
      <c r="N447" s="31" t="n"/>
      <c r="O447" s="32" t="n"/>
    </row>
    <row r="448">
      <c r="A448" s="30">
        <f>IF(Database!B448="","",ROW()-1)</f>
        <v/>
      </c>
      <c r="B448" s="30">
        <f>IF(Database!B448="","",Database!B448)</f>
        <v/>
      </c>
      <c r="C448" s="87">
        <f>IF(Database!B448="","",Database!A448)</f>
        <v/>
      </c>
      <c r="D448" s="30">
        <f>IF(Database!B448="","",Database!D448)</f>
        <v/>
      </c>
      <c r="E448" s="30">
        <f>IF(Database!B448="","",Database!E448)</f>
        <v/>
      </c>
      <c r="F448" s="30">
        <f>IF(Database!B448="","",Database!F448)</f>
        <v/>
      </c>
      <c r="G448" s="30">
        <f>IF(Database!B448="","",Database!G448)</f>
        <v/>
      </c>
      <c r="H448" s="30">
        <f>IF(Database!B448="","",Database!C448)</f>
        <v/>
      </c>
      <c r="I448" s="30">
        <f>IF(Database!B448="","",Database!H448)</f>
        <v/>
      </c>
      <c r="J448" s="31" t="n"/>
      <c r="K448" s="88" t="n"/>
      <c r="L448" s="31" t="n"/>
      <c r="M448" s="31" t="n"/>
      <c r="N448" s="31" t="n"/>
      <c r="O448" s="32" t="n"/>
    </row>
    <row r="449">
      <c r="A449" s="30">
        <f>IF(Database!B449="","",ROW()-1)</f>
        <v/>
      </c>
      <c r="B449" s="30">
        <f>IF(Database!B449="","",Database!B449)</f>
        <v/>
      </c>
      <c r="C449" s="87">
        <f>IF(Database!B449="","",Database!A449)</f>
        <v/>
      </c>
      <c r="D449" s="30">
        <f>IF(Database!B449="","",Database!D449)</f>
        <v/>
      </c>
      <c r="E449" s="30">
        <f>IF(Database!B449="","",Database!E449)</f>
        <v/>
      </c>
      <c r="F449" s="30">
        <f>IF(Database!B449="","",Database!F449)</f>
        <v/>
      </c>
      <c r="G449" s="30">
        <f>IF(Database!B449="","",Database!G449)</f>
        <v/>
      </c>
      <c r="H449" s="30">
        <f>IF(Database!B449="","",Database!C449)</f>
        <v/>
      </c>
      <c r="I449" s="30">
        <f>IF(Database!B449="","",Database!H449)</f>
        <v/>
      </c>
      <c r="J449" s="31" t="n"/>
      <c r="K449" s="88" t="n"/>
      <c r="L449" s="31" t="n"/>
      <c r="M449" s="31" t="n"/>
      <c r="N449" s="31" t="n"/>
      <c r="O449" s="32" t="n"/>
    </row>
    <row r="450">
      <c r="A450" s="30">
        <f>IF(Database!B450="","",ROW()-1)</f>
        <v/>
      </c>
      <c r="B450" s="30">
        <f>IF(Database!B450="","",Database!B450)</f>
        <v/>
      </c>
      <c r="C450" s="87">
        <f>IF(Database!B450="","",Database!A450)</f>
        <v/>
      </c>
      <c r="D450" s="30">
        <f>IF(Database!B450="","",Database!D450)</f>
        <v/>
      </c>
      <c r="E450" s="30">
        <f>IF(Database!B450="","",Database!E450)</f>
        <v/>
      </c>
      <c r="F450" s="30">
        <f>IF(Database!B450="","",Database!F450)</f>
        <v/>
      </c>
      <c r="G450" s="30">
        <f>IF(Database!B450="","",Database!G450)</f>
        <v/>
      </c>
      <c r="H450" s="30">
        <f>IF(Database!B450="","",Database!C450)</f>
        <v/>
      </c>
      <c r="I450" s="30">
        <f>IF(Database!B450="","",Database!H450)</f>
        <v/>
      </c>
      <c r="J450" s="31" t="n"/>
      <c r="K450" s="88" t="n"/>
      <c r="L450" s="31" t="n"/>
      <c r="M450" s="31" t="n"/>
      <c r="N450" s="31" t="n"/>
      <c r="O450" s="32" t="n"/>
    </row>
    <row r="451">
      <c r="A451" s="30">
        <f>IF(Database!B451="","",ROW()-1)</f>
        <v/>
      </c>
      <c r="B451" s="30">
        <f>IF(Database!B451="","",Database!B451)</f>
        <v/>
      </c>
      <c r="C451" s="87">
        <f>IF(Database!B451="","",Database!A451)</f>
        <v/>
      </c>
      <c r="D451" s="30">
        <f>IF(Database!B451="","",Database!D451)</f>
        <v/>
      </c>
      <c r="E451" s="30">
        <f>IF(Database!B451="","",Database!E451)</f>
        <v/>
      </c>
      <c r="F451" s="30">
        <f>IF(Database!B451="","",Database!F451)</f>
        <v/>
      </c>
      <c r="G451" s="30">
        <f>IF(Database!B451="","",Database!G451)</f>
        <v/>
      </c>
      <c r="H451" s="30">
        <f>IF(Database!B451="","",Database!C451)</f>
        <v/>
      </c>
      <c r="I451" s="30">
        <f>IF(Database!B451="","",Database!H451)</f>
        <v/>
      </c>
      <c r="J451" s="31" t="n"/>
      <c r="K451" s="88" t="n"/>
      <c r="L451" s="31" t="n"/>
      <c r="M451" s="31" t="n"/>
      <c r="N451" s="31" t="n"/>
      <c r="O451" s="32" t="n"/>
    </row>
    <row r="452">
      <c r="A452" s="30">
        <f>IF(Database!B452="","",ROW()-1)</f>
        <v/>
      </c>
      <c r="B452" s="30">
        <f>IF(Database!B452="","",Database!B452)</f>
        <v/>
      </c>
      <c r="C452" s="87">
        <f>IF(Database!B452="","",Database!A452)</f>
        <v/>
      </c>
      <c r="D452" s="30">
        <f>IF(Database!B452="","",Database!D452)</f>
        <v/>
      </c>
      <c r="E452" s="30">
        <f>IF(Database!B452="","",Database!E452)</f>
        <v/>
      </c>
      <c r="F452" s="30">
        <f>IF(Database!B452="","",Database!F452)</f>
        <v/>
      </c>
      <c r="G452" s="30">
        <f>IF(Database!B452="","",Database!G452)</f>
        <v/>
      </c>
      <c r="H452" s="30">
        <f>IF(Database!B452="","",Database!C452)</f>
        <v/>
      </c>
      <c r="I452" s="30">
        <f>IF(Database!B452="","",Database!H452)</f>
        <v/>
      </c>
      <c r="J452" s="31" t="n"/>
      <c r="K452" s="88" t="n"/>
      <c r="L452" s="31" t="n"/>
      <c r="M452" s="31" t="n"/>
      <c r="N452" s="31" t="n"/>
      <c r="O452" s="32" t="n"/>
    </row>
    <row r="453">
      <c r="A453" s="30">
        <f>IF(Database!B453="","",ROW()-1)</f>
        <v/>
      </c>
      <c r="B453" s="30">
        <f>IF(Database!B453="","",Database!B453)</f>
        <v/>
      </c>
      <c r="C453" s="87">
        <f>IF(Database!B453="","",Database!A453)</f>
        <v/>
      </c>
      <c r="D453" s="30">
        <f>IF(Database!B453="","",Database!D453)</f>
        <v/>
      </c>
      <c r="E453" s="30">
        <f>IF(Database!B453="","",Database!E453)</f>
        <v/>
      </c>
      <c r="F453" s="30">
        <f>IF(Database!B453="","",Database!F453)</f>
        <v/>
      </c>
      <c r="G453" s="30">
        <f>IF(Database!B453="","",Database!G453)</f>
        <v/>
      </c>
      <c r="H453" s="30">
        <f>IF(Database!B453="","",Database!C453)</f>
        <v/>
      </c>
      <c r="I453" s="30">
        <f>IF(Database!B453="","",Database!H453)</f>
        <v/>
      </c>
      <c r="J453" s="31" t="n"/>
      <c r="K453" s="88" t="n"/>
      <c r="L453" s="31" t="n"/>
      <c r="M453" s="31" t="n"/>
      <c r="N453" s="31" t="n"/>
      <c r="O453" s="32" t="n"/>
    </row>
    <row r="454">
      <c r="A454" s="30">
        <f>IF(Database!B454="","",ROW()-1)</f>
        <v/>
      </c>
      <c r="B454" s="30">
        <f>IF(Database!B454="","",Database!B454)</f>
        <v/>
      </c>
      <c r="C454" s="87">
        <f>IF(Database!B454="","",Database!A454)</f>
        <v/>
      </c>
      <c r="D454" s="30">
        <f>IF(Database!B454="","",Database!D454)</f>
        <v/>
      </c>
      <c r="E454" s="30">
        <f>IF(Database!B454="","",Database!E454)</f>
        <v/>
      </c>
      <c r="F454" s="30">
        <f>IF(Database!B454="","",Database!F454)</f>
        <v/>
      </c>
      <c r="G454" s="30">
        <f>IF(Database!B454="","",Database!G454)</f>
        <v/>
      </c>
      <c r="H454" s="30">
        <f>IF(Database!B454="","",Database!C454)</f>
        <v/>
      </c>
      <c r="I454" s="30">
        <f>IF(Database!B454="","",Database!H454)</f>
        <v/>
      </c>
      <c r="J454" s="31" t="n"/>
      <c r="K454" s="88" t="n"/>
      <c r="L454" s="31" t="n"/>
      <c r="M454" s="31" t="n"/>
      <c r="N454" s="31" t="n"/>
      <c r="O454" s="32" t="n"/>
    </row>
    <row r="455">
      <c r="A455" s="30">
        <f>IF(Database!B455="","",ROW()-1)</f>
        <v/>
      </c>
      <c r="B455" s="30">
        <f>IF(Database!B455="","",Database!B455)</f>
        <v/>
      </c>
      <c r="C455" s="87">
        <f>IF(Database!B455="","",Database!A455)</f>
        <v/>
      </c>
      <c r="D455" s="30">
        <f>IF(Database!B455="","",Database!D455)</f>
        <v/>
      </c>
      <c r="E455" s="30">
        <f>IF(Database!B455="","",Database!E455)</f>
        <v/>
      </c>
      <c r="F455" s="30">
        <f>IF(Database!B455="","",Database!F455)</f>
        <v/>
      </c>
      <c r="G455" s="30">
        <f>IF(Database!B455="","",Database!G455)</f>
        <v/>
      </c>
      <c r="H455" s="30">
        <f>IF(Database!B455="","",Database!C455)</f>
        <v/>
      </c>
      <c r="I455" s="30">
        <f>IF(Database!B455="","",Database!H455)</f>
        <v/>
      </c>
      <c r="J455" s="31" t="n"/>
      <c r="K455" s="88" t="n"/>
      <c r="L455" s="31" t="n"/>
      <c r="M455" s="31" t="n"/>
      <c r="N455" s="31" t="n"/>
      <c r="O455" s="32" t="n"/>
    </row>
    <row r="456">
      <c r="A456" s="30">
        <f>IF(Database!B456="","",ROW()-1)</f>
        <v/>
      </c>
      <c r="B456" s="30">
        <f>IF(Database!B456="","",Database!B456)</f>
        <v/>
      </c>
      <c r="C456" s="87">
        <f>IF(Database!B456="","",Database!A456)</f>
        <v/>
      </c>
      <c r="D456" s="30">
        <f>IF(Database!B456="","",Database!D456)</f>
        <v/>
      </c>
      <c r="E456" s="30">
        <f>IF(Database!B456="","",Database!E456)</f>
        <v/>
      </c>
      <c r="F456" s="30">
        <f>IF(Database!B456="","",Database!F456)</f>
        <v/>
      </c>
      <c r="G456" s="30">
        <f>IF(Database!B456="","",Database!G456)</f>
        <v/>
      </c>
      <c r="H456" s="30">
        <f>IF(Database!B456="","",Database!C456)</f>
        <v/>
      </c>
      <c r="I456" s="30">
        <f>IF(Database!B456="","",Database!H456)</f>
        <v/>
      </c>
      <c r="J456" s="31" t="n"/>
      <c r="K456" s="88" t="n"/>
      <c r="L456" s="31" t="n"/>
      <c r="M456" s="31" t="n"/>
      <c r="N456" s="31" t="n"/>
      <c r="O456" s="32" t="n"/>
    </row>
    <row r="457">
      <c r="A457" s="30">
        <f>IF(Database!B457="","",ROW()-1)</f>
        <v/>
      </c>
      <c r="B457" s="30">
        <f>IF(Database!B457="","",Database!B457)</f>
        <v/>
      </c>
      <c r="C457" s="87">
        <f>IF(Database!B457="","",Database!A457)</f>
        <v/>
      </c>
      <c r="D457" s="30">
        <f>IF(Database!B457="","",Database!D457)</f>
        <v/>
      </c>
      <c r="E457" s="30">
        <f>IF(Database!B457="","",Database!E457)</f>
        <v/>
      </c>
      <c r="F457" s="30">
        <f>IF(Database!B457="","",Database!F457)</f>
        <v/>
      </c>
      <c r="G457" s="30">
        <f>IF(Database!B457="","",Database!G457)</f>
        <v/>
      </c>
      <c r="H457" s="30">
        <f>IF(Database!B457="","",Database!C457)</f>
        <v/>
      </c>
      <c r="I457" s="30">
        <f>IF(Database!B457="","",Database!H457)</f>
        <v/>
      </c>
      <c r="J457" s="31" t="n"/>
      <c r="K457" s="88" t="n"/>
      <c r="L457" s="31" t="n"/>
      <c r="M457" s="31" t="n"/>
      <c r="N457" s="31" t="n"/>
      <c r="O457" s="32" t="n"/>
    </row>
    <row r="458">
      <c r="A458" s="30">
        <f>IF(Database!B458="","",ROW()-1)</f>
        <v/>
      </c>
      <c r="B458" s="30">
        <f>IF(Database!B458="","",Database!B458)</f>
        <v/>
      </c>
      <c r="C458" s="87">
        <f>IF(Database!B458="","",Database!A458)</f>
        <v/>
      </c>
      <c r="D458" s="30">
        <f>IF(Database!B458="","",Database!D458)</f>
        <v/>
      </c>
      <c r="E458" s="30">
        <f>IF(Database!B458="","",Database!E458)</f>
        <v/>
      </c>
      <c r="F458" s="30">
        <f>IF(Database!B458="","",Database!F458)</f>
        <v/>
      </c>
      <c r="G458" s="30">
        <f>IF(Database!B458="","",Database!G458)</f>
        <v/>
      </c>
      <c r="H458" s="30">
        <f>IF(Database!B458="","",Database!C458)</f>
        <v/>
      </c>
      <c r="I458" s="30">
        <f>IF(Database!B458="","",Database!H458)</f>
        <v/>
      </c>
      <c r="J458" s="31" t="n"/>
      <c r="K458" s="88" t="n"/>
      <c r="L458" s="31" t="n"/>
      <c r="M458" s="31" t="n"/>
      <c r="N458" s="31" t="n"/>
      <c r="O458" s="32" t="n"/>
    </row>
    <row r="459">
      <c r="A459" s="30">
        <f>IF(Database!B459="","",ROW()-1)</f>
        <v/>
      </c>
      <c r="B459" s="30">
        <f>IF(Database!B459="","",Database!B459)</f>
        <v/>
      </c>
      <c r="C459" s="87">
        <f>IF(Database!B459="","",Database!A459)</f>
        <v/>
      </c>
      <c r="D459" s="30">
        <f>IF(Database!B459="","",Database!D459)</f>
        <v/>
      </c>
      <c r="E459" s="30">
        <f>IF(Database!B459="","",Database!E459)</f>
        <v/>
      </c>
      <c r="F459" s="30">
        <f>IF(Database!B459="","",Database!F459)</f>
        <v/>
      </c>
      <c r="G459" s="30">
        <f>IF(Database!B459="","",Database!G459)</f>
        <v/>
      </c>
      <c r="H459" s="30">
        <f>IF(Database!B459="","",Database!C459)</f>
        <v/>
      </c>
      <c r="I459" s="30">
        <f>IF(Database!B459="","",Database!H459)</f>
        <v/>
      </c>
      <c r="J459" s="31" t="n"/>
      <c r="K459" s="88" t="n"/>
      <c r="L459" s="31" t="n"/>
      <c r="M459" s="31" t="n"/>
      <c r="N459" s="31" t="n"/>
      <c r="O459" s="32" t="n"/>
    </row>
    <row r="460">
      <c r="A460" s="30">
        <f>IF(Database!B460="","",ROW()-1)</f>
        <v/>
      </c>
      <c r="B460" s="30">
        <f>IF(Database!B460="","",Database!B460)</f>
        <v/>
      </c>
      <c r="C460" s="87">
        <f>IF(Database!B460="","",Database!A460)</f>
        <v/>
      </c>
      <c r="D460" s="30">
        <f>IF(Database!B460="","",Database!D460)</f>
        <v/>
      </c>
      <c r="E460" s="30">
        <f>IF(Database!B460="","",Database!E460)</f>
        <v/>
      </c>
      <c r="F460" s="30">
        <f>IF(Database!B460="","",Database!F460)</f>
        <v/>
      </c>
      <c r="G460" s="30">
        <f>IF(Database!B460="","",Database!G460)</f>
        <v/>
      </c>
      <c r="H460" s="30">
        <f>IF(Database!B460="","",Database!C460)</f>
        <v/>
      </c>
      <c r="I460" s="30">
        <f>IF(Database!B460="","",Database!H460)</f>
        <v/>
      </c>
      <c r="J460" s="31" t="n"/>
      <c r="K460" s="88" t="n"/>
      <c r="L460" s="31" t="n"/>
      <c r="M460" s="31" t="n"/>
      <c r="N460" s="31" t="n"/>
      <c r="O460" s="32" t="n"/>
    </row>
    <row r="461">
      <c r="A461" s="30">
        <f>IF(Database!B461="","",ROW()-1)</f>
        <v/>
      </c>
      <c r="B461" s="30">
        <f>IF(Database!B461="","",Database!B461)</f>
        <v/>
      </c>
      <c r="C461" s="87">
        <f>IF(Database!B461="","",Database!A461)</f>
        <v/>
      </c>
      <c r="D461" s="30">
        <f>IF(Database!B461="","",Database!D461)</f>
        <v/>
      </c>
      <c r="E461" s="30">
        <f>IF(Database!B461="","",Database!E461)</f>
        <v/>
      </c>
      <c r="F461" s="30">
        <f>IF(Database!B461="","",Database!F461)</f>
        <v/>
      </c>
      <c r="G461" s="30">
        <f>IF(Database!B461="","",Database!G461)</f>
        <v/>
      </c>
      <c r="H461" s="30">
        <f>IF(Database!B461="","",Database!C461)</f>
        <v/>
      </c>
      <c r="I461" s="30">
        <f>IF(Database!B461="","",Database!H461)</f>
        <v/>
      </c>
      <c r="J461" s="31" t="n"/>
      <c r="K461" s="88" t="n"/>
      <c r="L461" s="31" t="n"/>
      <c r="M461" s="31" t="n"/>
      <c r="N461" s="31" t="n"/>
      <c r="O461" s="32" t="n"/>
    </row>
    <row r="462">
      <c r="A462" s="30">
        <f>IF(Database!B462="","",ROW()-1)</f>
        <v/>
      </c>
      <c r="B462" s="30">
        <f>IF(Database!B462="","",Database!B462)</f>
        <v/>
      </c>
      <c r="C462" s="87">
        <f>IF(Database!B462="","",Database!A462)</f>
        <v/>
      </c>
      <c r="D462" s="30">
        <f>IF(Database!B462="","",Database!D462)</f>
        <v/>
      </c>
      <c r="E462" s="30">
        <f>IF(Database!B462="","",Database!E462)</f>
        <v/>
      </c>
      <c r="F462" s="30">
        <f>IF(Database!B462="","",Database!F462)</f>
        <v/>
      </c>
      <c r="G462" s="30">
        <f>IF(Database!B462="","",Database!G462)</f>
        <v/>
      </c>
      <c r="H462" s="30">
        <f>IF(Database!B462="","",Database!C462)</f>
        <v/>
      </c>
      <c r="I462" s="30">
        <f>IF(Database!B462="","",Database!H462)</f>
        <v/>
      </c>
      <c r="J462" s="31" t="n"/>
      <c r="K462" s="88" t="n"/>
      <c r="L462" s="31" t="n"/>
      <c r="M462" s="31" t="n"/>
      <c r="N462" s="31" t="n"/>
      <c r="O462" s="32" t="n"/>
    </row>
    <row r="463">
      <c r="A463" s="30">
        <f>IF(Database!B463="","",ROW()-1)</f>
        <v/>
      </c>
      <c r="B463" s="30">
        <f>IF(Database!B463="","",Database!B463)</f>
        <v/>
      </c>
      <c r="C463" s="87">
        <f>IF(Database!B463="","",Database!A463)</f>
        <v/>
      </c>
      <c r="D463" s="30">
        <f>IF(Database!B463="","",Database!D463)</f>
        <v/>
      </c>
      <c r="E463" s="30">
        <f>IF(Database!B463="","",Database!E463)</f>
        <v/>
      </c>
      <c r="F463" s="30">
        <f>IF(Database!B463="","",Database!F463)</f>
        <v/>
      </c>
      <c r="G463" s="30">
        <f>IF(Database!B463="","",Database!G463)</f>
        <v/>
      </c>
      <c r="H463" s="30">
        <f>IF(Database!B463="","",Database!C463)</f>
        <v/>
      </c>
      <c r="I463" s="30">
        <f>IF(Database!B463="","",Database!H463)</f>
        <v/>
      </c>
      <c r="J463" s="31" t="n"/>
      <c r="K463" s="88" t="n"/>
      <c r="L463" s="31" t="n"/>
      <c r="M463" s="31" t="n"/>
      <c r="N463" s="31" t="n"/>
      <c r="O463" s="32" t="n"/>
    </row>
    <row r="464">
      <c r="A464" s="30">
        <f>IF(Database!B464="","",ROW()-1)</f>
        <v/>
      </c>
      <c r="B464" s="30">
        <f>IF(Database!B464="","",Database!B464)</f>
        <v/>
      </c>
      <c r="C464" s="87">
        <f>IF(Database!B464="","",Database!A464)</f>
        <v/>
      </c>
      <c r="D464" s="30">
        <f>IF(Database!B464="","",Database!D464)</f>
        <v/>
      </c>
      <c r="E464" s="30">
        <f>IF(Database!B464="","",Database!E464)</f>
        <v/>
      </c>
      <c r="F464" s="30">
        <f>IF(Database!B464="","",Database!F464)</f>
        <v/>
      </c>
      <c r="G464" s="30">
        <f>IF(Database!B464="","",Database!G464)</f>
        <v/>
      </c>
      <c r="H464" s="30">
        <f>IF(Database!B464="","",Database!C464)</f>
        <v/>
      </c>
      <c r="I464" s="30">
        <f>IF(Database!B464="","",Database!H464)</f>
        <v/>
      </c>
      <c r="J464" s="31" t="n"/>
      <c r="K464" s="88" t="n"/>
      <c r="L464" s="31" t="n"/>
      <c r="M464" s="31" t="n"/>
      <c r="N464" s="31" t="n"/>
      <c r="O464" s="32" t="n"/>
    </row>
    <row r="465">
      <c r="A465" s="30">
        <f>IF(Database!B465="","",ROW()-1)</f>
        <v/>
      </c>
      <c r="B465" s="30">
        <f>IF(Database!B465="","",Database!B465)</f>
        <v/>
      </c>
      <c r="C465" s="87">
        <f>IF(Database!B465="","",Database!A465)</f>
        <v/>
      </c>
      <c r="D465" s="30">
        <f>IF(Database!B465="","",Database!D465)</f>
        <v/>
      </c>
      <c r="E465" s="30">
        <f>IF(Database!B465="","",Database!E465)</f>
        <v/>
      </c>
      <c r="F465" s="30">
        <f>IF(Database!B465="","",Database!F465)</f>
        <v/>
      </c>
      <c r="G465" s="30">
        <f>IF(Database!B465="","",Database!G465)</f>
        <v/>
      </c>
      <c r="H465" s="30">
        <f>IF(Database!B465="","",Database!C465)</f>
        <v/>
      </c>
      <c r="I465" s="30">
        <f>IF(Database!B465="","",Database!H465)</f>
        <v/>
      </c>
      <c r="J465" s="31" t="n"/>
      <c r="K465" s="88" t="n"/>
      <c r="L465" s="31" t="n"/>
      <c r="M465" s="31" t="n"/>
      <c r="N465" s="31" t="n"/>
      <c r="O465" s="32" t="n"/>
    </row>
    <row r="466">
      <c r="A466" s="30">
        <f>IF(Database!B466="","",ROW()-1)</f>
        <v/>
      </c>
      <c r="B466" s="30">
        <f>IF(Database!B466="","",Database!B466)</f>
        <v/>
      </c>
      <c r="C466" s="87">
        <f>IF(Database!B466="","",Database!A466)</f>
        <v/>
      </c>
      <c r="D466" s="30">
        <f>IF(Database!B466="","",Database!D466)</f>
        <v/>
      </c>
      <c r="E466" s="30">
        <f>IF(Database!B466="","",Database!E466)</f>
        <v/>
      </c>
      <c r="F466" s="30">
        <f>IF(Database!B466="","",Database!F466)</f>
        <v/>
      </c>
      <c r="G466" s="30">
        <f>IF(Database!B466="","",Database!G466)</f>
        <v/>
      </c>
      <c r="H466" s="30">
        <f>IF(Database!B466="","",Database!C466)</f>
        <v/>
      </c>
      <c r="I466" s="30">
        <f>IF(Database!B466="","",Database!H466)</f>
        <v/>
      </c>
      <c r="J466" s="31" t="n"/>
      <c r="K466" s="88" t="n"/>
      <c r="L466" s="31" t="n"/>
      <c r="M466" s="31" t="n"/>
      <c r="N466" s="31" t="n"/>
      <c r="O466" s="32" t="n"/>
    </row>
    <row r="467">
      <c r="A467" s="30">
        <f>IF(Database!B467="","",ROW()-1)</f>
        <v/>
      </c>
      <c r="B467" s="30">
        <f>IF(Database!B467="","",Database!B467)</f>
        <v/>
      </c>
      <c r="C467" s="87">
        <f>IF(Database!B467="","",Database!A467)</f>
        <v/>
      </c>
      <c r="D467" s="30">
        <f>IF(Database!B467="","",Database!D467)</f>
        <v/>
      </c>
      <c r="E467" s="30">
        <f>IF(Database!B467="","",Database!E467)</f>
        <v/>
      </c>
      <c r="F467" s="30">
        <f>IF(Database!B467="","",Database!F467)</f>
        <v/>
      </c>
      <c r="G467" s="30">
        <f>IF(Database!B467="","",Database!G467)</f>
        <v/>
      </c>
      <c r="H467" s="30">
        <f>IF(Database!B467="","",Database!C467)</f>
        <v/>
      </c>
      <c r="I467" s="30">
        <f>IF(Database!B467="","",Database!H467)</f>
        <v/>
      </c>
      <c r="J467" s="31" t="n"/>
      <c r="K467" s="88" t="n"/>
      <c r="L467" s="31" t="n"/>
      <c r="M467" s="31" t="n"/>
      <c r="N467" s="31" t="n"/>
      <c r="O467" s="32" t="n"/>
    </row>
    <row r="468">
      <c r="A468" s="30">
        <f>IF(Database!B468="","",ROW()-1)</f>
        <v/>
      </c>
      <c r="B468" s="30">
        <f>IF(Database!B468="","",Database!B468)</f>
        <v/>
      </c>
      <c r="C468" s="87">
        <f>IF(Database!B468="","",Database!A468)</f>
        <v/>
      </c>
      <c r="D468" s="30">
        <f>IF(Database!B468="","",Database!D468)</f>
        <v/>
      </c>
      <c r="E468" s="30">
        <f>IF(Database!B468="","",Database!E468)</f>
        <v/>
      </c>
      <c r="F468" s="30">
        <f>IF(Database!B468="","",Database!F468)</f>
        <v/>
      </c>
      <c r="G468" s="30">
        <f>IF(Database!B468="","",Database!G468)</f>
        <v/>
      </c>
      <c r="H468" s="30">
        <f>IF(Database!B468="","",Database!C468)</f>
        <v/>
      </c>
      <c r="I468" s="30">
        <f>IF(Database!B468="","",Database!H468)</f>
        <v/>
      </c>
      <c r="J468" s="31" t="n"/>
      <c r="K468" s="88" t="n"/>
      <c r="L468" s="31" t="n"/>
      <c r="M468" s="31" t="n"/>
      <c r="N468" s="31" t="n"/>
      <c r="O468" s="32" t="n"/>
    </row>
    <row r="469">
      <c r="A469" s="30">
        <f>IF(Database!B469="","",ROW()-1)</f>
        <v/>
      </c>
      <c r="B469" s="30">
        <f>IF(Database!B469="","",Database!B469)</f>
        <v/>
      </c>
      <c r="C469" s="87">
        <f>IF(Database!B469="","",Database!A469)</f>
        <v/>
      </c>
      <c r="D469" s="30">
        <f>IF(Database!B469="","",Database!D469)</f>
        <v/>
      </c>
      <c r="E469" s="30">
        <f>IF(Database!B469="","",Database!E469)</f>
        <v/>
      </c>
      <c r="F469" s="30">
        <f>IF(Database!B469="","",Database!F469)</f>
        <v/>
      </c>
      <c r="G469" s="30">
        <f>IF(Database!B469="","",Database!G469)</f>
        <v/>
      </c>
      <c r="H469" s="30">
        <f>IF(Database!B469="","",Database!C469)</f>
        <v/>
      </c>
      <c r="I469" s="30">
        <f>IF(Database!B469="","",Database!H469)</f>
        <v/>
      </c>
      <c r="J469" s="31" t="n"/>
      <c r="K469" s="88" t="n"/>
      <c r="L469" s="31" t="n"/>
      <c r="M469" s="31" t="n"/>
      <c r="N469" s="31" t="n"/>
      <c r="O469" s="32" t="n"/>
    </row>
    <row r="470">
      <c r="A470" s="30">
        <f>IF(Database!B470="","",ROW()-1)</f>
        <v/>
      </c>
      <c r="B470" s="30">
        <f>IF(Database!B470="","",Database!B470)</f>
        <v/>
      </c>
      <c r="C470" s="87">
        <f>IF(Database!B470="","",Database!A470)</f>
        <v/>
      </c>
      <c r="D470" s="30">
        <f>IF(Database!B470="","",Database!D470)</f>
        <v/>
      </c>
      <c r="E470" s="30">
        <f>IF(Database!B470="","",Database!E470)</f>
        <v/>
      </c>
      <c r="F470" s="30">
        <f>IF(Database!B470="","",Database!F470)</f>
        <v/>
      </c>
      <c r="G470" s="30">
        <f>IF(Database!B470="","",Database!G470)</f>
        <v/>
      </c>
      <c r="H470" s="30">
        <f>IF(Database!B470="","",Database!C470)</f>
        <v/>
      </c>
      <c r="I470" s="30">
        <f>IF(Database!B470="","",Database!H470)</f>
        <v/>
      </c>
      <c r="J470" s="31" t="n"/>
      <c r="K470" s="88" t="n"/>
      <c r="L470" s="31" t="n"/>
      <c r="M470" s="31" t="n"/>
      <c r="N470" s="31" t="n"/>
      <c r="O470" s="32" t="n"/>
    </row>
    <row r="471">
      <c r="A471" s="30">
        <f>IF(Database!B471="","",ROW()-1)</f>
        <v/>
      </c>
      <c r="B471" s="30">
        <f>IF(Database!B471="","",Database!B471)</f>
        <v/>
      </c>
      <c r="C471" s="87">
        <f>IF(Database!B471="","",Database!A471)</f>
        <v/>
      </c>
      <c r="D471" s="30">
        <f>IF(Database!B471="","",Database!D471)</f>
        <v/>
      </c>
      <c r="E471" s="30">
        <f>IF(Database!B471="","",Database!E471)</f>
        <v/>
      </c>
      <c r="F471" s="30">
        <f>IF(Database!B471="","",Database!F471)</f>
        <v/>
      </c>
      <c r="G471" s="30">
        <f>IF(Database!B471="","",Database!G471)</f>
        <v/>
      </c>
      <c r="H471" s="30">
        <f>IF(Database!B471="","",Database!C471)</f>
        <v/>
      </c>
      <c r="I471" s="30">
        <f>IF(Database!B471="","",Database!H471)</f>
        <v/>
      </c>
      <c r="J471" s="31" t="n"/>
      <c r="K471" s="88" t="n"/>
      <c r="L471" s="31" t="n"/>
      <c r="M471" s="31" t="n"/>
      <c r="N471" s="31" t="n"/>
      <c r="O471" s="32" t="n"/>
    </row>
    <row r="472">
      <c r="A472" s="30">
        <f>IF(Database!B472="","",ROW()-1)</f>
        <v/>
      </c>
      <c r="B472" s="30">
        <f>IF(Database!B472="","",Database!B472)</f>
        <v/>
      </c>
      <c r="C472" s="87">
        <f>IF(Database!B472="","",Database!A472)</f>
        <v/>
      </c>
      <c r="D472" s="30">
        <f>IF(Database!B472="","",Database!D472)</f>
        <v/>
      </c>
      <c r="E472" s="30">
        <f>IF(Database!B472="","",Database!E472)</f>
        <v/>
      </c>
      <c r="F472" s="30">
        <f>IF(Database!B472="","",Database!F472)</f>
        <v/>
      </c>
      <c r="G472" s="30">
        <f>IF(Database!B472="","",Database!G472)</f>
        <v/>
      </c>
      <c r="H472" s="30">
        <f>IF(Database!B472="","",Database!C472)</f>
        <v/>
      </c>
      <c r="I472" s="30">
        <f>IF(Database!B472="","",Database!H472)</f>
        <v/>
      </c>
      <c r="J472" s="31" t="n"/>
      <c r="K472" s="88" t="n"/>
      <c r="L472" s="31" t="n"/>
      <c r="M472" s="31" t="n"/>
      <c r="N472" s="31" t="n"/>
      <c r="O472" s="32" t="n"/>
    </row>
    <row r="473">
      <c r="A473" s="30">
        <f>IF(Database!B473="","",ROW()-1)</f>
        <v/>
      </c>
      <c r="B473" s="30">
        <f>IF(Database!B473="","",Database!B473)</f>
        <v/>
      </c>
      <c r="C473" s="87">
        <f>IF(Database!B473="","",Database!A473)</f>
        <v/>
      </c>
      <c r="D473" s="30">
        <f>IF(Database!B473="","",Database!D473)</f>
        <v/>
      </c>
      <c r="E473" s="30">
        <f>IF(Database!B473="","",Database!E473)</f>
        <v/>
      </c>
      <c r="F473" s="30">
        <f>IF(Database!B473="","",Database!F473)</f>
        <v/>
      </c>
      <c r="G473" s="30">
        <f>IF(Database!B473="","",Database!G473)</f>
        <v/>
      </c>
      <c r="H473" s="30">
        <f>IF(Database!B473="","",Database!C473)</f>
        <v/>
      </c>
      <c r="I473" s="30">
        <f>IF(Database!B473="","",Database!H473)</f>
        <v/>
      </c>
      <c r="J473" s="31" t="n"/>
      <c r="K473" s="88" t="n"/>
      <c r="L473" s="31" t="n"/>
      <c r="M473" s="31" t="n"/>
      <c r="N473" s="31" t="n"/>
      <c r="O473" s="32" t="n"/>
    </row>
    <row r="474">
      <c r="A474" s="30">
        <f>IF(Database!B474="","",ROW()-1)</f>
        <v/>
      </c>
      <c r="B474" s="30">
        <f>IF(Database!B474="","",Database!B474)</f>
        <v/>
      </c>
      <c r="C474" s="87">
        <f>IF(Database!B474="","",Database!A474)</f>
        <v/>
      </c>
      <c r="D474" s="30">
        <f>IF(Database!B474="","",Database!D474)</f>
        <v/>
      </c>
      <c r="E474" s="30">
        <f>IF(Database!B474="","",Database!E474)</f>
        <v/>
      </c>
      <c r="F474" s="30">
        <f>IF(Database!B474="","",Database!F474)</f>
        <v/>
      </c>
      <c r="G474" s="30">
        <f>IF(Database!B474="","",Database!G474)</f>
        <v/>
      </c>
      <c r="H474" s="30">
        <f>IF(Database!B474="","",Database!C474)</f>
        <v/>
      </c>
      <c r="I474" s="30">
        <f>IF(Database!B474="","",Database!H474)</f>
        <v/>
      </c>
      <c r="J474" s="31" t="n"/>
      <c r="K474" s="88" t="n"/>
      <c r="L474" s="31" t="n"/>
      <c r="M474" s="31" t="n"/>
      <c r="N474" s="31" t="n"/>
      <c r="O474" s="32" t="n"/>
    </row>
    <row r="475">
      <c r="A475" s="30">
        <f>IF(Database!B475="","",ROW()-1)</f>
        <v/>
      </c>
      <c r="B475" s="30">
        <f>IF(Database!B475="","",Database!B475)</f>
        <v/>
      </c>
      <c r="C475" s="87">
        <f>IF(Database!B475="","",Database!A475)</f>
        <v/>
      </c>
      <c r="D475" s="30">
        <f>IF(Database!B475="","",Database!D475)</f>
        <v/>
      </c>
      <c r="E475" s="30">
        <f>IF(Database!B475="","",Database!E475)</f>
        <v/>
      </c>
      <c r="F475" s="30">
        <f>IF(Database!B475="","",Database!F475)</f>
        <v/>
      </c>
      <c r="G475" s="30">
        <f>IF(Database!B475="","",Database!G475)</f>
        <v/>
      </c>
      <c r="H475" s="30">
        <f>IF(Database!B475="","",Database!C475)</f>
        <v/>
      </c>
      <c r="I475" s="30">
        <f>IF(Database!B475="","",Database!H475)</f>
        <v/>
      </c>
      <c r="J475" s="31" t="n"/>
      <c r="K475" s="88" t="n"/>
      <c r="L475" s="31" t="n"/>
      <c r="M475" s="31" t="n"/>
      <c r="N475" s="31" t="n"/>
      <c r="O475" s="32" t="n"/>
    </row>
    <row r="476">
      <c r="A476" s="30">
        <f>IF(Database!B476="","",ROW()-1)</f>
        <v/>
      </c>
      <c r="B476" s="30">
        <f>IF(Database!B476="","",Database!B476)</f>
        <v/>
      </c>
      <c r="C476" s="87">
        <f>IF(Database!B476="","",Database!A476)</f>
        <v/>
      </c>
      <c r="D476" s="30">
        <f>IF(Database!B476="","",Database!D476)</f>
        <v/>
      </c>
      <c r="E476" s="30">
        <f>IF(Database!B476="","",Database!E476)</f>
        <v/>
      </c>
      <c r="F476" s="30">
        <f>IF(Database!B476="","",Database!F476)</f>
        <v/>
      </c>
      <c r="G476" s="30">
        <f>IF(Database!B476="","",Database!G476)</f>
        <v/>
      </c>
      <c r="H476" s="30">
        <f>IF(Database!B476="","",Database!C476)</f>
        <v/>
      </c>
      <c r="I476" s="30">
        <f>IF(Database!B476="","",Database!H476)</f>
        <v/>
      </c>
      <c r="J476" s="31" t="n"/>
      <c r="K476" s="88" t="n"/>
      <c r="L476" s="31" t="n"/>
      <c r="M476" s="31" t="n"/>
      <c r="N476" s="31" t="n"/>
      <c r="O476" s="32" t="n"/>
    </row>
    <row r="477">
      <c r="A477" s="30">
        <f>IF(Database!B477="","",ROW()-1)</f>
        <v/>
      </c>
      <c r="B477" s="30">
        <f>IF(Database!B477="","",Database!B477)</f>
        <v/>
      </c>
      <c r="C477" s="87">
        <f>IF(Database!B477="","",Database!A477)</f>
        <v/>
      </c>
      <c r="D477" s="30">
        <f>IF(Database!B477="","",Database!D477)</f>
        <v/>
      </c>
      <c r="E477" s="30">
        <f>IF(Database!B477="","",Database!E477)</f>
        <v/>
      </c>
      <c r="F477" s="30">
        <f>IF(Database!B477="","",Database!F477)</f>
        <v/>
      </c>
      <c r="G477" s="30">
        <f>IF(Database!B477="","",Database!G477)</f>
        <v/>
      </c>
      <c r="H477" s="30">
        <f>IF(Database!B477="","",Database!C477)</f>
        <v/>
      </c>
      <c r="I477" s="30">
        <f>IF(Database!B477="","",Database!H477)</f>
        <v/>
      </c>
      <c r="J477" s="31" t="n"/>
      <c r="K477" s="88" t="n"/>
      <c r="L477" s="31" t="n"/>
      <c r="M477" s="31" t="n"/>
      <c r="N477" s="31" t="n"/>
      <c r="O477" s="32" t="n"/>
    </row>
    <row r="478">
      <c r="A478" s="30">
        <f>IF(Database!B478="","",ROW()-1)</f>
        <v/>
      </c>
      <c r="B478" s="30">
        <f>IF(Database!B478="","",Database!B478)</f>
        <v/>
      </c>
      <c r="C478" s="87">
        <f>IF(Database!B478="","",Database!A478)</f>
        <v/>
      </c>
      <c r="D478" s="30">
        <f>IF(Database!B478="","",Database!D478)</f>
        <v/>
      </c>
      <c r="E478" s="30">
        <f>IF(Database!B478="","",Database!E478)</f>
        <v/>
      </c>
      <c r="F478" s="30">
        <f>IF(Database!B478="","",Database!F478)</f>
        <v/>
      </c>
      <c r="G478" s="30">
        <f>IF(Database!B478="","",Database!G478)</f>
        <v/>
      </c>
      <c r="H478" s="30">
        <f>IF(Database!B478="","",Database!C478)</f>
        <v/>
      </c>
      <c r="I478" s="30">
        <f>IF(Database!B478="","",Database!H478)</f>
        <v/>
      </c>
      <c r="J478" s="31" t="n"/>
      <c r="K478" s="88" t="n"/>
      <c r="L478" s="31" t="n"/>
      <c r="M478" s="31" t="n"/>
      <c r="N478" s="31" t="n"/>
      <c r="O478" s="32" t="n"/>
    </row>
    <row r="479">
      <c r="A479" s="30">
        <f>IF(Database!B479="","",ROW()-1)</f>
        <v/>
      </c>
      <c r="B479" s="30">
        <f>IF(Database!B479="","",Database!B479)</f>
        <v/>
      </c>
      <c r="C479" s="87">
        <f>IF(Database!B479="","",Database!A479)</f>
        <v/>
      </c>
      <c r="D479" s="30">
        <f>IF(Database!B479="","",Database!D479)</f>
        <v/>
      </c>
      <c r="E479" s="30">
        <f>IF(Database!B479="","",Database!E479)</f>
        <v/>
      </c>
      <c r="F479" s="30">
        <f>IF(Database!B479="","",Database!F479)</f>
        <v/>
      </c>
      <c r="G479" s="30">
        <f>IF(Database!B479="","",Database!G479)</f>
        <v/>
      </c>
      <c r="H479" s="30">
        <f>IF(Database!B479="","",Database!C479)</f>
        <v/>
      </c>
      <c r="I479" s="30">
        <f>IF(Database!B479="","",Database!H479)</f>
        <v/>
      </c>
      <c r="J479" s="31" t="n"/>
      <c r="K479" s="88" t="n"/>
      <c r="L479" s="31" t="n"/>
      <c r="M479" s="31" t="n"/>
      <c r="N479" s="31" t="n"/>
      <c r="O479" s="32" t="n"/>
    </row>
    <row r="480">
      <c r="A480" s="30">
        <f>IF(Database!B480="","",ROW()-1)</f>
        <v/>
      </c>
      <c r="B480" s="30">
        <f>IF(Database!B480="","",Database!B480)</f>
        <v/>
      </c>
      <c r="C480" s="87">
        <f>IF(Database!B480="","",Database!A480)</f>
        <v/>
      </c>
      <c r="D480" s="30">
        <f>IF(Database!B480="","",Database!D480)</f>
        <v/>
      </c>
      <c r="E480" s="30">
        <f>IF(Database!B480="","",Database!E480)</f>
        <v/>
      </c>
      <c r="F480" s="30">
        <f>IF(Database!B480="","",Database!F480)</f>
        <v/>
      </c>
      <c r="G480" s="30">
        <f>IF(Database!B480="","",Database!G480)</f>
        <v/>
      </c>
      <c r="H480" s="30">
        <f>IF(Database!B480="","",Database!C480)</f>
        <v/>
      </c>
      <c r="I480" s="30">
        <f>IF(Database!B480="","",Database!H480)</f>
        <v/>
      </c>
      <c r="J480" s="31" t="n"/>
      <c r="K480" s="88" t="n"/>
      <c r="L480" s="31" t="n"/>
      <c r="M480" s="31" t="n"/>
      <c r="N480" s="31" t="n"/>
      <c r="O480" s="32" t="n"/>
    </row>
    <row r="481">
      <c r="A481" s="30">
        <f>IF(Database!B481="","",ROW()-1)</f>
        <v/>
      </c>
      <c r="B481" s="30">
        <f>IF(Database!B481="","",Database!B481)</f>
        <v/>
      </c>
      <c r="C481" s="87">
        <f>IF(Database!B481="","",Database!A481)</f>
        <v/>
      </c>
      <c r="D481" s="30">
        <f>IF(Database!B481="","",Database!D481)</f>
        <v/>
      </c>
      <c r="E481" s="30">
        <f>IF(Database!B481="","",Database!E481)</f>
        <v/>
      </c>
      <c r="F481" s="30">
        <f>IF(Database!B481="","",Database!F481)</f>
        <v/>
      </c>
      <c r="G481" s="30">
        <f>IF(Database!B481="","",Database!G481)</f>
        <v/>
      </c>
      <c r="H481" s="30">
        <f>IF(Database!B481="","",Database!C481)</f>
        <v/>
      </c>
      <c r="I481" s="30">
        <f>IF(Database!B481="","",Database!H481)</f>
        <v/>
      </c>
      <c r="J481" s="31" t="n"/>
      <c r="K481" s="88" t="n"/>
      <c r="L481" s="31" t="n"/>
      <c r="M481" s="31" t="n"/>
      <c r="N481" s="31" t="n"/>
      <c r="O481" s="32" t="n"/>
    </row>
    <row r="482">
      <c r="A482" s="30">
        <f>IF(Database!B482="","",ROW()-1)</f>
        <v/>
      </c>
      <c r="B482" s="30">
        <f>IF(Database!B482="","",Database!B482)</f>
        <v/>
      </c>
      <c r="C482" s="87">
        <f>IF(Database!B482="","",Database!A482)</f>
        <v/>
      </c>
      <c r="D482" s="30">
        <f>IF(Database!B482="","",Database!D482)</f>
        <v/>
      </c>
      <c r="E482" s="30">
        <f>IF(Database!B482="","",Database!E482)</f>
        <v/>
      </c>
      <c r="F482" s="30">
        <f>IF(Database!B482="","",Database!F482)</f>
        <v/>
      </c>
      <c r="G482" s="30">
        <f>IF(Database!B482="","",Database!G482)</f>
        <v/>
      </c>
      <c r="H482" s="30">
        <f>IF(Database!B482="","",Database!C482)</f>
        <v/>
      </c>
      <c r="I482" s="30">
        <f>IF(Database!B482="","",Database!H482)</f>
        <v/>
      </c>
      <c r="J482" s="31" t="n"/>
      <c r="K482" s="88" t="n"/>
      <c r="L482" s="31" t="n"/>
      <c r="M482" s="31" t="n"/>
      <c r="N482" s="31" t="n"/>
      <c r="O482" s="32" t="n"/>
    </row>
    <row r="483">
      <c r="A483" s="30">
        <f>IF(Database!B483="","",ROW()-1)</f>
        <v/>
      </c>
      <c r="B483" s="30">
        <f>IF(Database!B483="","",Database!B483)</f>
        <v/>
      </c>
      <c r="C483" s="87">
        <f>IF(Database!B483="","",Database!A483)</f>
        <v/>
      </c>
      <c r="D483" s="30">
        <f>IF(Database!B483="","",Database!D483)</f>
        <v/>
      </c>
      <c r="E483" s="30">
        <f>IF(Database!B483="","",Database!E483)</f>
        <v/>
      </c>
      <c r="F483" s="30">
        <f>IF(Database!B483="","",Database!F483)</f>
        <v/>
      </c>
      <c r="G483" s="30">
        <f>IF(Database!B483="","",Database!G483)</f>
        <v/>
      </c>
      <c r="H483" s="30">
        <f>IF(Database!B483="","",Database!C483)</f>
        <v/>
      </c>
      <c r="I483" s="30">
        <f>IF(Database!B483="","",Database!H483)</f>
        <v/>
      </c>
      <c r="J483" s="31" t="n"/>
      <c r="K483" s="88" t="n"/>
      <c r="L483" s="31" t="n"/>
      <c r="M483" s="31" t="n"/>
      <c r="N483" s="31" t="n"/>
      <c r="O483" s="32" t="n"/>
    </row>
    <row r="484">
      <c r="A484" s="30">
        <f>IF(Database!B484="","",ROW()-1)</f>
        <v/>
      </c>
      <c r="B484" s="30">
        <f>IF(Database!B484="","",Database!B484)</f>
        <v/>
      </c>
      <c r="C484" s="87">
        <f>IF(Database!B484="","",Database!A484)</f>
        <v/>
      </c>
      <c r="D484" s="30">
        <f>IF(Database!B484="","",Database!D484)</f>
        <v/>
      </c>
      <c r="E484" s="30">
        <f>IF(Database!B484="","",Database!E484)</f>
        <v/>
      </c>
      <c r="F484" s="30">
        <f>IF(Database!B484="","",Database!F484)</f>
        <v/>
      </c>
      <c r="G484" s="30">
        <f>IF(Database!B484="","",Database!G484)</f>
        <v/>
      </c>
      <c r="H484" s="30">
        <f>IF(Database!B484="","",Database!C484)</f>
        <v/>
      </c>
      <c r="I484" s="30">
        <f>IF(Database!B484="","",Database!H484)</f>
        <v/>
      </c>
      <c r="J484" s="31" t="n"/>
      <c r="K484" s="88" t="n"/>
      <c r="L484" s="31" t="n"/>
      <c r="M484" s="31" t="n"/>
      <c r="N484" s="31" t="n"/>
      <c r="O484" s="32" t="n"/>
    </row>
    <row r="485">
      <c r="A485" s="30">
        <f>IF(Database!B485="","",ROW()-1)</f>
        <v/>
      </c>
      <c r="B485" s="30">
        <f>IF(Database!B485="","",Database!B485)</f>
        <v/>
      </c>
      <c r="C485" s="87">
        <f>IF(Database!B485="","",Database!A485)</f>
        <v/>
      </c>
      <c r="D485" s="30">
        <f>IF(Database!B485="","",Database!D485)</f>
        <v/>
      </c>
      <c r="E485" s="30">
        <f>IF(Database!B485="","",Database!E485)</f>
        <v/>
      </c>
      <c r="F485" s="30">
        <f>IF(Database!B485="","",Database!F485)</f>
        <v/>
      </c>
      <c r="G485" s="30">
        <f>IF(Database!B485="","",Database!G485)</f>
        <v/>
      </c>
      <c r="H485" s="30">
        <f>IF(Database!B485="","",Database!C485)</f>
        <v/>
      </c>
      <c r="I485" s="30">
        <f>IF(Database!B485="","",Database!H485)</f>
        <v/>
      </c>
      <c r="J485" s="31" t="n"/>
      <c r="K485" s="88" t="n"/>
      <c r="L485" s="31" t="n"/>
      <c r="M485" s="31" t="n"/>
      <c r="N485" s="31" t="n"/>
      <c r="O485" s="32" t="n"/>
    </row>
    <row r="486">
      <c r="A486" s="30">
        <f>IF(Database!B486="","",ROW()-1)</f>
        <v/>
      </c>
      <c r="B486" s="30">
        <f>IF(Database!B486="","",Database!B486)</f>
        <v/>
      </c>
      <c r="C486" s="87">
        <f>IF(Database!B486="","",Database!A486)</f>
        <v/>
      </c>
      <c r="D486" s="30">
        <f>IF(Database!B486="","",Database!D486)</f>
        <v/>
      </c>
      <c r="E486" s="30">
        <f>IF(Database!B486="","",Database!E486)</f>
        <v/>
      </c>
      <c r="F486" s="30">
        <f>IF(Database!B486="","",Database!F486)</f>
        <v/>
      </c>
      <c r="G486" s="30">
        <f>IF(Database!B486="","",Database!G486)</f>
        <v/>
      </c>
      <c r="H486" s="30">
        <f>IF(Database!B486="","",Database!C486)</f>
        <v/>
      </c>
      <c r="I486" s="30">
        <f>IF(Database!B486="","",Database!H486)</f>
        <v/>
      </c>
      <c r="J486" s="31" t="n"/>
      <c r="K486" s="88" t="n"/>
      <c r="L486" s="31" t="n"/>
      <c r="M486" s="31" t="n"/>
      <c r="N486" s="31" t="n"/>
      <c r="O486" s="32" t="n"/>
    </row>
    <row r="487">
      <c r="A487" s="30">
        <f>IF(Database!B487="","",ROW()-1)</f>
        <v/>
      </c>
      <c r="B487" s="30">
        <f>IF(Database!B487="","",Database!B487)</f>
        <v/>
      </c>
      <c r="C487" s="87">
        <f>IF(Database!B487="","",Database!A487)</f>
        <v/>
      </c>
      <c r="D487" s="30">
        <f>IF(Database!B487="","",Database!D487)</f>
        <v/>
      </c>
      <c r="E487" s="30">
        <f>IF(Database!B487="","",Database!E487)</f>
        <v/>
      </c>
      <c r="F487" s="30">
        <f>IF(Database!B487="","",Database!F487)</f>
        <v/>
      </c>
      <c r="G487" s="30">
        <f>IF(Database!B487="","",Database!G487)</f>
        <v/>
      </c>
      <c r="H487" s="30">
        <f>IF(Database!B487="","",Database!C487)</f>
        <v/>
      </c>
      <c r="I487" s="30">
        <f>IF(Database!B487="","",Database!H487)</f>
        <v/>
      </c>
      <c r="J487" s="31" t="n"/>
      <c r="K487" s="88" t="n"/>
      <c r="L487" s="31" t="n"/>
      <c r="M487" s="31" t="n"/>
      <c r="N487" s="31" t="n"/>
      <c r="O487" s="32" t="n"/>
    </row>
    <row r="488">
      <c r="A488" s="30">
        <f>IF(Database!B488="","",ROW()-1)</f>
        <v/>
      </c>
      <c r="B488" s="30">
        <f>IF(Database!B488="","",Database!B488)</f>
        <v/>
      </c>
      <c r="C488" s="87">
        <f>IF(Database!B488="","",Database!A488)</f>
        <v/>
      </c>
      <c r="D488" s="30">
        <f>IF(Database!B488="","",Database!D488)</f>
        <v/>
      </c>
      <c r="E488" s="30">
        <f>IF(Database!B488="","",Database!E488)</f>
        <v/>
      </c>
      <c r="F488" s="30">
        <f>IF(Database!B488="","",Database!F488)</f>
        <v/>
      </c>
      <c r="G488" s="30">
        <f>IF(Database!B488="","",Database!G488)</f>
        <v/>
      </c>
      <c r="H488" s="30">
        <f>IF(Database!B488="","",Database!C488)</f>
        <v/>
      </c>
      <c r="I488" s="30">
        <f>IF(Database!B488="","",Database!H488)</f>
        <v/>
      </c>
      <c r="J488" s="31" t="n"/>
      <c r="K488" s="88" t="n"/>
      <c r="L488" s="31" t="n"/>
      <c r="M488" s="31" t="n"/>
      <c r="N488" s="31" t="n"/>
      <c r="O488" s="32" t="n"/>
    </row>
    <row r="489">
      <c r="A489" s="30">
        <f>IF(Database!B489="","",ROW()-1)</f>
        <v/>
      </c>
      <c r="B489" s="30">
        <f>IF(Database!B489="","",Database!B489)</f>
        <v/>
      </c>
      <c r="C489" s="87">
        <f>IF(Database!B489="","",Database!A489)</f>
        <v/>
      </c>
      <c r="D489" s="30">
        <f>IF(Database!B489="","",Database!D489)</f>
        <v/>
      </c>
      <c r="E489" s="30">
        <f>IF(Database!B489="","",Database!E489)</f>
        <v/>
      </c>
      <c r="F489" s="30">
        <f>IF(Database!B489="","",Database!F489)</f>
        <v/>
      </c>
      <c r="G489" s="30">
        <f>IF(Database!B489="","",Database!G489)</f>
        <v/>
      </c>
      <c r="H489" s="30">
        <f>IF(Database!B489="","",Database!C489)</f>
        <v/>
      </c>
      <c r="I489" s="30">
        <f>IF(Database!B489="","",Database!H489)</f>
        <v/>
      </c>
      <c r="J489" s="31" t="n"/>
      <c r="K489" s="88" t="n"/>
      <c r="L489" s="31" t="n"/>
      <c r="M489" s="31" t="n"/>
      <c r="N489" s="31" t="n"/>
      <c r="O489" s="32" t="n"/>
    </row>
    <row r="490">
      <c r="A490" s="30">
        <f>IF(Database!B490="","",ROW()-1)</f>
        <v/>
      </c>
      <c r="B490" s="30">
        <f>IF(Database!B490="","",Database!B490)</f>
        <v/>
      </c>
      <c r="C490" s="87">
        <f>IF(Database!B490="","",Database!A490)</f>
        <v/>
      </c>
      <c r="D490" s="30">
        <f>IF(Database!B490="","",Database!D490)</f>
        <v/>
      </c>
      <c r="E490" s="30">
        <f>IF(Database!B490="","",Database!E490)</f>
        <v/>
      </c>
      <c r="F490" s="30">
        <f>IF(Database!B490="","",Database!F490)</f>
        <v/>
      </c>
      <c r="G490" s="30">
        <f>IF(Database!B490="","",Database!G490)</f>
        <v/>
      </c>
      <c r="H490" s="30">
        <f>IF(Database!B490="","",Database!C490)</f>
        <v/>
      </c>
      <c r="I490" s="30">
        <f>IF(Database!B490="","",Database!H490)</f>
        <v/>
      </c>
      <c r="J490" s="31" t="n"/>
      <c r="K490" s="88" t="n"/>
      <c r="L490" s="31" t="n"/>
      <c r="M490" s="31" t="n"/>
      <c r="N490" s="31" t="n"/>
      <c r="O490" s="32" t="n"/>
    </row>
    <row r="491">
      <c r="A491" s="30">
        <f>IF(Database!B491="","",ROW()-1)</f>
        <v/>
      </c>
      <c r="B491" s="30">
        <f>IF(Database!B491="","",Database!B491)</f>
        <v/>
      </c>
      <c r="C491" s="87">
        <f>IF(Database!B491="","",Database!A491)</f>
        <v/>
      </c>
      <c r="D491" s="30">
        <f>IF(Database!B491="","",Database!D491)</f>
        <v/>
      </c>
      <c r="E491" s="30">
        <f>IF(Database!B491="","",Database!E491)</f>
        <v/>
      </c>
      <c r="F491" s="30">
        <f>IF(Database!B491="","",Database!F491)</f>
        <v/>
      </c>
      <c r="G491" s="30">
        <f>IF(Database!B491="","",Database!G491)</f>
        <v/>
      </c>
      <c r="H491" s="30">
        <f>IF(Database!B491="","",Database!C491)</f>
        <v/>
      </c>
      <c r="I491" s="30">
        <f>IF(Database!B491="","",Database!H491)</f>
        <v/>
      </c>
      <c r="J491" s="31" t="n"/>
      <c r="K491" s="88" t="n"/>
      <c r="L491" s="31" t="n"/>
      <c r="M491" s="31" t="n"/>
      <c r="N491" s="31" t="n"/>
      <c r="O491" s="32" t="n"/>
    </row>
    <row r="492">
      <c r="A492" s="30">
        <f>IF(Database!B492="","",ROW()-1)</f>
        <v/>
      </c>
      <c r="B492" s="30">
        <f>IF(Database!B492="","",Database!B492)</f>
        <v/>
      </c>
      <c r="C492" s="87">
        <f>IF(Database!B492="","",Database!A492)</f>
        <v/>
      </c>
      <c r="D492" s="30">
        <f>IF(Database!B492="","",Database!D492)</f>
        <v/>
      </c>
      <c r="E492" s="30">
        <f>IF(Database!B492="","",Database!E492)</f>
        <v/>
      </c>
      <c r="F492" s="30">
        <f>IF(Database!B492="","",Database!F492)</f>
        <v/>
      </c>
      <c r="G492" s="30">
        <f>IF(Database!B492="","",Database!G492)</f>
        <v/>
      </c>
      <c r="H492" s="30">
        <f>IF(Database!B492="","",Database!C492)</f>
        <v/>
      </c>
      <c r="I492" s="30">
        <f>IF(Database!B492="","",Database!H492)</f>
        <v/>
      </c>
      <c r="J492" s="31" t="n"/>
      <c r="K492" s="88" t="n"/>
      <c r="L492" s="31" t="n"/>
      <c r="M492" s="31" t="n"/>
      <c r="N492" s="31" t="n"/>
      <c r="O492" s="32" t="n"/>
    </row>
    <row r="493">
      <c r="A493" s="30">
        <f>IF(Database!B493="","",ROW()-1)</f>
        <v/>
      </c>
      <c r="B493" s="30">
        <f>IF(Database!B493="","",Database!B493)</f>
        <v/>
      </c>
      <c r="C493" s="87">
        <f>IF(Database!B493="","",Database!A493)</f>
        <v/>
      </c>
      <c r="D493" s="30">
        <f>IF(Database!B493="","",Database!D493)</f>
        <v/>
      </c>
      <c r="E493" s="30">
        <f>IF(Database!B493="","",Database!E493)</f>
        <v/>
      </c>
      <c r="F493" s="30">
        <f>IF(Database!B493="","",Database!F493)</f>
        <v/>
      </c>
      <c r="G493" s="30">
        <f>IF(Database!B493="","",Database!G493)</f>
        <v/>
      </c>
      <c r="H493" s="30">
        <f>IF(Database!B493="","",Database!C493)</f>
        <v/>
      </c>
      <c r="I493" s="30">
        <f>IF(Database!B493="","",Database!H493)</f>
        <v/>
      </c>
      <c r="J493" s="31" t="n"/>
      <c r="K493" s="88" t="n"/>
      <c r="L493" s="31" t="n"/>
      <c r="M493" s="31" t="n"/>
      <c r="N493" s="31" t="n"/>
      <c r="O493" s="32" t="n"/>
    </row>
    <row r="494">
      <c r="A494" s="30">
        <f>IF(Database!B494="","",ROW()-1)</f>
        <v/>
      </c>
      <c r="B494" s="30">
        <f>IF(Database!B494="","",Database!B494)</f>
        <v/>
      </c>
      <c r="C494" s="87">
        <f>IF(Database!B494="","",Database!A494)</f>
        <v/>
      </c>
      <c r="D494" s="30">
        <f>IF(Database!B494="","",Database!D494)</f>
        <v/>
      </c>
      <c r="E494" s="30">
        <f>IF(Database!B494="","",Database!E494)</f>
        <v/>
      </c>
      <c r="F494" s="30">
        <f>IF(Database!B494="","",Database!F494)</f>
        <v/>
      </c>
      <c r="G494" s="30">
        <f>IF(Database!B494="","",Database!G494)</f>
        <v/>
      </c>
      <c r="H494" s="30">
        <f>IF(Database!B494="","",Database!C494)</f>
        <v/>
      </c>
      <c r="I494" s="30">
        <f>IF(Database!B494="","",Database!H494)</f>
        <v/>
      </c>
      <c r="J494" s="31" t="n"/>
      <c r="K494" s="88" t="n"/>
      <c r="L494" s="31" t="n"/>
      <c r="M494" s="31" t="n"/>
      <c r="N494" s="31" t="n"/>
      <c r="O494" s="32" t="n"/>
    </row>
    <row r="495">
      <c r="A495" s="30">
        <f>IF(Database!B495="","",ROW()-1)</f>
        <v/>
      </c>
      <c r="B495" s="30">
        <f>IF(Database!B495="","",Database!B495)</f>
        <v/>
      </c>
      <c r="C495" s="87">
        <f>IF(Database!B495="","",Database!A495)</f>
        <v/>
      </c>
      <c r="D495" s="30">
        <f>IF(Database!B495="","",Database!D495)</f>
        <v/>
      </c>
      <c r="E495" s="30">
        <f>IF(Database!B495="","",Database!E495)</f>
        <v/>
      </c>
      <c r="F495" s="30">
        <f>IF(Database!B495="","",Database!F495)</f>
        <v/>
      </c>
      <c r="G495" s="30">
        <f>IF(Database!B495="","",Database!G495)</f>
        <v/>
      </c>
      <c r="H495" s="30">
        <f>IF(Database!B495="","",Database!C495)</f>
        <v/>
      </c>
      <c r="I495" s="30">
        <f>IF(Database!B495="","",Database!H495)</f>
        <v/>
      </c>
      <c r="J495" s="31" t="n"/>
      <c r="K495" s="88" t="n"/>
      <c r="L495" s="31" t="n"/>
      <c r="M495" s="31" t="n"/>
      <c r="N495" s="31" t="n"/>
      <c r="O495" s="32" t="n"/>
    </row>
    <row r="496">
      <c r="A496" s="30">
        <f>IF(Database!B496="","",ROW()-1)</f>
        <v/>
      </c>
      <c r="B496" s="30">
        <f>IF(Database!B496="","",Database!B496)</f>
        <v/>
      </c>
      <c r="C496" s="87">
        <f>IF(Database!B496="","",Database!A496)</f>
        <v/>
      </c>
      <c r="D496" s="30">
        <f>IF(Database!B496="","",Database!D496)</f>
        <v/>
      </c>
      <c r="E496" s="30">
        <f>IF(Database!B496="","",Database!E496)</f>
        <v/>
      </c>
      <c r="F496" s="30">
        <f>IF(Database!B496="","",Database!F496)</f>
        <v/>
      </c>
      <c r="G496" s="30">
        <f>IF(Database!B496="","",Database!G496)</f>
        <v/>
      </c>
      <c r="H496" s="30">
        <f>IF(Database!B496="","",Database!C496)</f>
        <v/>
      </c>
      <c r="I496" s="30">
        <f>IF(Database!B496="","",Database!H496)</f>
        <v/>
      </c>
      <c r="J496" s="31" t="n"/>
      <c r="K496" s="88" t="n"/>
      <c r="L496" s="31" t="n"/>
      <c r="M496" s="31" t="n"/>
      <c r="N496" s="31" t="n"/>
      <c r="O496" s="32" t="n"/>
    </row>
    <row r="497">
      <c r="A497" s="30">
        <f>IF(Database!B497="","",ROW()-1)</f>
        <v/>
      </c>
      <c r="B497" s="30">
        <f>IF(Database!B497="","",Database!B497)</f>
        <v/>
      </c>
      <c r="C497" s="87">
        <f>IF(Database!B497="","",Database!A497)</f>
        <v/>
      </c>
      <c r="D497" s="30">
        <f>IF(Database!B497="","",Database!D497)</f>
        <v/>
      </c>
      <c r="E497" s="30">
        <f>IF(Database!B497="","",Database!E497)</f>
        <v/>
      </c>
      <c r="F497" s="30">
        <f>IF(Database!B497="","",Database!F497)</f>
        <v/>
      </c>
      <c r="G497" s="30">
        <f>IF(Database!B497="","",Database!G497)</f>
        <v/>
      </c>
      <c r="H497" s="30">
        <f>IF(Database!B497="","",Database!C497)</f>
        <v/>
      </c>
      <c r="I497" s="30">
        <f>IF(Database!B497="","",Database!H497)</f>
        <v/>
      </c>
      <c r="J497" s="31" t="n"/>
      <c r="K497" s="88" t="n"/>
      <c r="L497" s="31" t="n"/>
      <c r="M497" s="31" t="n"/>
      <c r="N497" s="31" t="n"/>
      <c r="O497" s="32" t="n"/>
    </row>
    <row r="498">
      <c r="A498" s="30">
        <f>IF(Database!B498="","",ROW()-1)</f>
        <v/>
      </c>
      <c r="B498" s="30">
        <f>IF(Database!B498="","",Database!B498)</f>
        <v/>
      </c>
      <c r="C498" s="87">
        <f>IF(Database!B498="","",Database!A498)</f>
        <v/>
      </c>
      <c r="D498" s="30">
        <f>IF(Database!B498="","",Database!D498)</f>
        <v/>
      </c>
      <c r="E498" s="30">
        <f>IF(Database!B498="","",Database!E498)</f>
        <v/>
      </c>
      <c r="F498" s="30">
        <f>IF(Database!B498="","",Database!F498)</f>
        <v/>
      </c>
      <c r="G498" s="30">
        <f>IF(Database!B498="","",Database!G498)</f>
        <v/>
      </c>
      <c r="H498" s="30">
        <f>IF(Database!B498="","",Database!C498)</f>
        <v/>
      </c>
      <c r="I498" s="30">
        <f>IF(Database!B498="","",Database!H498)</f>
        <v/>
      </c>
      <c r="J498" s="31" t="n"/>
      <c r="K498" s="88" t="n"/>
      <c r="L498" s="31" t="n"/>
      <c r="M498" s="31" t="n"/>
      <c r="N498" s="31" t="n"/>
      <c r="O498" s="32" t="n"/>
    </row>
    <row r="499">
      <c r="A499" s="30">
        <f>IF(Database!B499="","",ROW()-1)</f>
        <v/>
      </c>
      <c r="B499" s="30">
        <f>IF(Database!B499="","",Database!B499)</f>
        <v/>
      </c>
      <c r="C499" s="87">
        <f>IF(Database!B499="","",Database!A499)</f>
        <v/>
      </c>
      <c r="D499" s="30">
        <f>IF(Database!B499="","",Database!D499)</f>
        <v/>
      </c>
      <c r="E499" s="30">
        <f>IF(Database!B499="","",Database!E499)</f>
        <v/>
      </c>
      <c r="F499" s="30">
        <f>IF(Database!B499="","",Database!F499)</f>
        <v/>
      </c>
      <c r="G499" s="30">
        <f>IF(Database!B499="","",Database!G499)</f>
        <v/>
      </c>
      <c r="H499" s="30">
        <f>IF(Database!B499="","",Database!C499)</f>
        <v/>
      </c>
      <c r="I499" s="30">
        <f>IF(Database!B499="","",Database!H499)</f>
        <v/>
      </c>
      <c r="J499" s="31" t="n"/>
      <c r="K499" s="88" t="n"/>
      <c r="L499" s="31" t="n"/>
      <c r="M499" s="31" t="n"/>
      <c r="N499" s="31" t="n"/>
      <c r="O499" s="32" t="n"/>
    </row>
    <row r="500">
      <c r="A500" s="30">
        <f>IF(Database!B500="","",ROW()-1)</f>
        <v/>
      </c>
      <c r="B500" s="30">
        <f>IF(Database!B500="","",Database!B500)</f>
        <v/>
      </c>
      <c r="C500" s="87">
        <f>IF(Database!B500="","",Database!A500)</f>
        <v/>
      </c>
      <c r="D500" s="30">
        <f>IF(Database!B500="","",Database!D500)</f>
        <v/>
      </c>
      <c r="E500" s="30">
        <f>IF(Database!B500="","",Database!E500)</f>
        <v/>
      </c>
      <c r="F500" s="30">
        <f>IF(Database!B500="","",Database!F500)</f>
        <v/>
      </c>
      <c r="G500" s="30">
        <f>IF(Database!B500="","",Database!G500)</f>
        <v/>
      </c>
      <c r="H500" s="30">
        <f>IF(Database!B500="","",Database!C500)</f>
        <v/>
      </c>
      <c r="I500" s="30">
        <f>IF(Database!B500="","",Database!H500)</f>
        <v/>
      </c>
      <c r="J500" s="31" t="n"/>
      <c r="K500" s="88" t="n"/>
      <c r="L500" s="31" t="n"/>
      <c r="M500" s="31" t="n"/>
      <c r="N500" s="31" t="n"/>
      <c r="O500" s="32" t="n"/>
    </row>
    <row r="501">
      <c r="A501" s="30">
        <f>IF(Database!B501="","",ROW()-1)</f>
        <v/>
      </c>
      <c r="B501" s="30">
        <f>IF(Database!B501="","",Database!B501)</f>
        <v/>
      </c>
      <c r="C501" s="87">
        <f>IF(Database!B501="","",Database!A501)</f>
        <v/>
      </c>
      <c r="D501" s="30">
        <f>IF(Database!B501="","",Database!D501)</f>
        <v/>
      </c>
      <c r="E501" s="30">
        <f>IF(Database!B501="","",Database!E501)</f>
        <v/>
      </c>
      <c r="F501" s="30">
        <f>IF(Database!B501="","",Database!F501)</f>
        <v/>
      </c>
      <c r="G501" s="30">
        <f>IF(Database!B501="","",Database!G501)</f>
        <v/>
      </c>
      <c r="H501" s="30">
        <f>IF(Database!B501="","",Database!C501)</f>
        <v/>
      </c>
      <c r="I501" s="30">
        <f>IF(Database!B501="","",Database!H501)</f>
        <v/>
      </c>
      <c r="J501" s="31" t="n"/>
      <c r="K501" s="88" t="n"/>
      <c r="L501" s="31" t="n"/>
      <c r="M501" s="31" t="n"/>
      <c r="N501" s="31" t="n"/>
      <c r="O501" s="32" t="n"/>
    </row>
    <row r="502">
      <c r="A502" s="30">
        <f>IF(Database!B502="","",ROW()-1)</f>
        <v/>
      </c>
      <c r="B502" s="30">
        <f>IF(Database!B502="","",Database!B502)</f>
        <v/>
      </c>
      <c r="C502" s="87">
        <f>IF(Database!B502="","",Database!A502)</f>
        <v/>
      </c>
      <c r="D502" s="30">
        <f>IF(Database!B502="","",Database!D502)</f>
        <v/>
      </c>
      <c r="E502" s="30">
        <f>IF(Database!B502="","",Database!E502)</f>
        <v/>
      </c>
      <c r="F502" s="30">
        <f>IF(Database!B502="","",Database!F502)</f>
        <v/>
      </c>
      <c r="G502" s="30">
        <f>IF(Database!B502="","",Database!G502)</f>
        <v/>
      </c>
      <c r="H502" s="30">
        <f>IF(Database!B502="","",Database!C502)</f>
        <v/>
      </c>
      <c r="I502" s="30">
        <f>IF(Database!B502="","",Database!H502)</f>
        <v/>
      </c>
      <c r="J502" s="31" t="n"/>
      <c r="K502" s="88" t="n"/>
      <c r="L502" s="31" t="n"/>
      <c r="M502" s="31" t="n"/>
      <c r="N502" s="31" t="n"/>
      <c r="O502" s="32" t="n"/>
    </row>
    <row r="503">
      <c r="A503" s="30">
        <f>IF(Database!B503="","",ROW()-1)</f>
        <v/>
      </c>
      <c r="B503" s="30">
        <f>IF(Database!B503="","",Database!B503)</f>
        <v/>
      </c>
      <c r="C503" s="87">
        <f>IF(Database!B503="","",Database!A503)</f>
        <v/>
      </c>
      <c r="D503" s="30">
        <f>IF(Database!B503="","",Database!D503)</f>
        <v/>
      </c>
      <c r="E503" s="30">
        <f>IF(Database!B503="","",Database!E503)</f>
        <v/>
      </c>
      <c r="F503" s="30">
        <f>IF(Database!B503="","",Database!F503)</f>
        <v/>
      </c>
      <c r="G503" s="30">
        <f>IF(Database!B503="","",Database!G503)</f>
        <v/>
      </c>
      <c r="H503" s="30">
        <f>IF(Database!B503="","",Database!C503)</f>
        <v/>
      </c>
      <c r="I503" s="30">
        <f>IF(Database!B503="","",Database!H503)</f>
        <v/>
      </c>
      <c r="J503" s="31" t="n"/>
      <c r="K503" s="88" t="n"/>
      <c r="L503" s="31" t="n"/>
      <c r="M503" s="31" t="n"/>
      <c r="N503" s="31" t="n"/>
      <c r="O503" s="32" t="n"/>
    </row>
    <row r="504">
      <c r="A504" s="30">
        <f>IF(Database!B504="","",ROW()-1)</f>
        <v/>
      </c>
      <c r="B504" s="30">
        <f>IF(Database!B504="","",Database!B504)</f>
        <v/>
      </c>
      <c r="C504" s="87">
        <f>IF(Database!B504="","",Database!A504)</f>
        <v/>
      </c>
      <c r="D504" s="30">
        <f>IF(Database!B504="","",Database!D504)</f>
        <v/>
      </c>
      <c r="E504" s="30">
        <f>IF(Database!B504="","",Database!E504)</f>
        <v/>
      </c>
      <c r="F504" s="30">
        <f>IF(Database!B504="","",Database!F504)</f>
        <v/>
      </c>
      <c r="G504" s="30">
        <f>IF(Database!B504="","",Database!G504)</f>
        <v/>
      </c>
      <c r="H504" s="30">
        <f>IF(Database!B504="","",Database!C504)</f>
        <v/>
      </c>
      <c r="I504" s="30">
        <f>IF(Database!B504="","",Database!H504)</f>
        <v/>
      </c>
      <c r="J504" s="31" t="n"/>
      <c r="K504" s="88" t="n"/>
      <c r="L504" s="31" t="n"/>
      <c r="M504" s="31" t="n"/>
      <c r="N504" s="31" t="n"/>
      <c r="O504" s="32" t="n"/>
    </row>
    <row r="505">
      <c r="A505" s="30">
        <f>IF(Database!B505="","",ROW()-1)</f>
        <v/>
      </c>
      <c r="B505" s="30">
        <f>IF(Database!B505="","",Database!B505)</f>
        <v/>
      </c>
      <c r="C505" s="87">
        <f>IF(Database!B505="","",Database!A505)</f>
        <v/>
      </c>
      <c r="D505" s="30">
        <f>IF(Database!B505="","",Database!D505)</f>
        <v/>
      </c>
      <c r="E505" s="30">
        <f>IF(Database!B505="","",Database!E505)</f>
        <v/>
      </c>
      <c r="F505" s="30">
        <f>IF(Database!B505="","",Database!F505)</f>
        <v/>
      </c>
      <c r="G505" s="30">
        <f>IF(Database!B505="","",Database!G505)</f>
        <v/>
      </c>
      <c r="H505" s="30">
        <f>IF(Database!B505="","",Database!C505)</f>
        <v/>
      </c>
      <c r="I505" s="30">
        <f>IF(Database!B505="","",Database!H505)</f>
        <v/>
      </c>
      <c r="J505" s="31" t="n"/>
      <c r="K505" s="88" t="n"/>
      <c r="L505" s="31" t="n"/>
      <c r="M505" s="31" t="n"/>
      <c r="N505" s="31" t="n"/>
      <c r="O505" s="32" t="n"/>
    </row>
    <row r="506">
      <c r="A506" s="30">
        <f>IF(Database!B506="","",ROW()-1)</f>
        <v/>
      </c>
      <c r="B506" s="30">
        <f>IF(Database!B506="","",Database!B506)</f>
        <v/>
      </c>
      <c r="C506" s="87">
        <f>IF(Database!B506="","",Database!A506)</f>
        <v/>
      </c>
      <c r="D506" s="30">
        <f>IF(Database!B506="","",Database!D506)</f>
        <v/>
      </c>
      <c r="E506" s="30">
        <f>IF(Database!B506="","",Database!E506)</f>
        <v/>
      </c>
      <c r="F506" s="30">
        <f>IF(Database!B506="","",Database!F506)</f>
        <v/>
      </c>
      <c r="G506" s="30">
        <f>IF(Database!B506="","",Database!G506)</f>
        <v/>
      </c>
      <c r="H506" s="30">
        <f>IF(Database!B506="","",Database!C506)</f>
        <v/>
      </c>
      <c r="I506" s="30">
        <f>IF(Database!B506="","",Database!H506)</f>
        <v/>
      </c>
      <c r="J506" s="31" t="n"/>
      <c r="K506" s="88" t="n"/>
      <c r="L506" s="31" t="n"/>
      <c r="M506" s="31" t="n"/>
      <c r="N506" s="31" t="n"/>
      <c r="O506" s="32" t="n"/>
    </row>
    <row r="507">
      <c r="A507" s="30">
        <f>IF(Database!B507="","",ROW()-1)</f>
        <v/>
      </c>
      <c r="B507" s="30">
        <f>IF(Database!B507="","",Database!B507)</f>
        <v/>
      </c>
      <c r="C507" s="87">
        <f>IF(Database!B507="","",Database!A507)</f>
        <v/>
      </c>
      <c r="D507" s="30">
        <f>IF(Database!B507="","",Database!D507)</f>
        <v/>
      </c>
      <c r="E507" s="30">
        <f>IF(Database!B507="","",Database!E507)</f>
        <v/>
      </c>
      <c r="F507" s="30">
        <f>IF(Database!B507="","",Database!F507)</f>
        <v/>
      </c>
      <c r="G507" s="30">
        <f>IF(Database!B507="","",Database!G507)</f>
        <v/>
      </c>
      <c r="H507" s="30">
        <f>IF(Database!B507="","",Database!C507)</f>
        <v/>
      </c>
      <c r="I507" s="30">
        <f>IF(Database!B507="","",Database!H507)</f>
        <v/>
      </c>
      <c r="J507" s="31" t="n"/>
      <c r="K507" s="88" t="n"/>
      <c r="L507" s="31" t="n"/>
      <c r="M507" s="31" t="n"/>
      <c r="N507" s="31" t="n"/>
      <c r="O507" s="32" t="n"/>
    </row>
    <row r="508">
      <c r="A508" s="30">
        <f>IF(Database!B508="","",ROW()-1)</f>
        <v/>
      </c>
      <c r="B508" s="30">
        <f>IF(Database!B508="","",Database!B508)</f>
        <v/>
      </c>
      <c r="C508" s="87">
        <f>IF(Database!B508="","",Database!A508)</f>
        <v/>
      </c>
      <c r="D508" s="30">
        <f>IF(Database!B508="","",Database!D508)</f>
        <v/>
      </c>
      <c r="E508" s="30">
        <f>IF(Database!B508="","",Database!E508)</f>
        <v/>
      </c>
      <c r="F508" s="30">
        <f>IF(Database!B508="","",Database!F508)</f>
        <v/>
      </c>
      <c r="G508" s="30">
        <f>IF(Database!B508="","",Database!G508)</f>
        <v/>
      </c>
      <c r="H508" s="30">
        <f>IF(Database!B508="","",Database!C508)</f>
        <v/>
      </c>
      <c r="I508" s="30">
        <f>IF(Database!B508="","",Database!H508)</f>
        <v/>
      </c>
      <c r="J508" s="31" t="n"/>
      <c r="K508" s="88" t="n"/>
      <c r="L508" s="31" t="n"/>
      <c r="M508" s="31" t="n"/>
      <c r="N508" s="31" t="n"/>
      <c r="O508" s="32" t="n"/>
    </row>
    <row r="509">
      <c r="A509" s="30">
        <f>IF(Database!B509="","",ROW()-1)</f>
        <v/>
      </c>
      <c r="B509" s="30">
        <f>IF(Database!B509="","",Database!B509)</f>
        <v/>
      </c>
      <c r="C509" s="87">
        <f>IF(Database!B509="","",Database!A509)</f>
        <v/>
      </c>
      <c r="D509" s="30">
        <f>IF(Database!B509="","",Database!D509)</f>
        <v/>
      </c>
      <c r="E509" s="30">
        <f>IF(Database!B509="","",Database!E509)</f>
        <v/>
      </c>
      <c r="F509" s="30">
        <f>IF(Database!B509="","",Database!F509)</f>
        <v/>
      </c>
      <c r="G509" s="30">
        <f>IF(Database!B509="","",Database!G509)</f>
        <v/>
      </c>
      <c r="H509" s="30">
        <f>IF(Database!B509="","",Database!C509)</f>
        <v/>
      </c>
      <c r="I509" s="30">
        <f>IF(Database!B509="","",Database!H509)</f>
        <v/>
      </c>
      <c r="J509" s="31" t="n"/>
      <c r="K509" s="88" t="n"/>
      <c r="L509" s="31" t="n"/>
      <c r="M509" s="31" t="n"/>
      <c r="N509" s="31" t="n"/>
      <c r="O509" s="32" t="n"/>
    </row>
    <row r="510">
      <c r="A510" s="30">
        <f>IF(Database!B510="","",ROW()-1)</f>
        <v/>
      </c>
      <c r="B510" s="30">
        <f>IF(Database!B510="","",Database!B510)</f>
        <v/>
      </c>
      <c r="C510" s="87">
        <f>IF(Database!B510="","",Database!A510)</f>
        <v/>
      </c>
      <c r="D510" s="30">
        <f>IF(Database!B510="","",Database!D510)</f>
        <v/>
      </c>
      <c r="E510" s="30">
        <f>IF(Database!B510="","",Database!E510)</f>
        <v/>
      </c>
      <c r="F510" s="30">
        <f>IF(Database!B510="","",Database!F510)</f>
        <v/>
      </c>
      <c r="G510" s="30">
        <f>IF(Database!B510="","",Database!G510)</f>
        <v/>
      </c>
      <c r="H510" s="30">
        <f>IF(Database!B510="","",Database!C510)</f>
        <v/>
      </c>
      <c r="I510" s="30">
        <f>IF(Database!B510="","",Database!H510)</f>
        <v/>
      </c>
      <c r="J510" s="31" t="n"/>
      <c r="K510" s="88" t="n"/>
      <c r="L510" s="31" t="n"/>
      <c r="M510" s="31" t="n"/>
      <c r="N510" s="31" t="n"/>
      <c r="O510" s="32" t="n"/>
    </row>
    <row r="511">
      <c r="A511" s="30">
        <f>IF(Database!B511="","",ROW()-1)</f>
        <v/>
      </c>
      <c r="B511" s="30">
        <f>IF(Database!B511="","",Database!B511)</f>
        <v/>
      </c>
      <c r="C511" s="87">
        <f>IF(Database!B511="","",Database!A511)</f>
        <v/>
      </c>
      <c r="D511" s="30">
        <f>IF(Database!B511="","",Database!D511)</f>
        <v/>
      </c>
      <c r="E511" s="30">
        <f>IF(Database!B511="","",Database!E511)</f>
        <v/>
      </c>
      <c r="F511" s="30">
        <f>IF(Database!B511="","",Database!F511)</f>
        <v/>
      </c>
      <c r="G511" s="30">
        <f>IF(Database!B511="","",Database!G511)</f>
        <v/>
      </c>
      <c r="H511" s="30">
        <f>IF(Database!B511="","",Database!C511)</f>
        <v/>
      </c>
      <c r="I511" s="30">
        <f>IF(Database!B511="","",Database!H511)</f>
        <v/>
      </c>
      <c r="J511" s="31" t="n"/>
      <c r="K511" s="88" t="n"/>
      <c r="L511" s="31" t="n"/>
      <c r="M511" s="31" t="n"/>
      <c r="N511" s="31" t="n"/>
      <c r="O511" s="32" t="n"/>
    </row>
    <row r="512">
      <c r="A512" s="30">
        <f>IF(Database!B512="","",ROW()-1)</f>
        <v/>
      </c>
      <c r="B512" s="30">
        <f>IF(Database!B512="","",Database!B512)</f>
        <v/>
      </c>
      <c r="C512" s="87">
        <f>IF(Database!B512="","",Database!A512)</f>
        <v/>
      </c>
      <c r="D512" s="30">
        <f>IF(Database!B512="","",Database!D512)</f>
        <v/>
      </c>
      <c r="E512" s="30">
        <f>IF(Database!B512="","",Database!E512)</f>
        <v/>
      </c>
      <c r="F512" s="30">
        <f>IF(Database!B512="","",Database!F512)</f>
        <v/>
      </c>
      <c r="G512" s="30">
        <f>IF(Database!B512="","",Database!G512)</f>
        <v/>
      </c>
      <c r="H512" s="30">
        <f>IF(Database!B512="","",Database!C512)</f>
        <v/>
      </c>
      <c r="I512" s="30">
        <f>IF(Database!B512="","",Database!H512)</f>
        <v/>
      </c>
      <c r="J512" s="31" t="n"/>
      <c r="K512" s="88" t="n"/>
      <c r="L512" s="31" t="n"/>
      <c r="M512" s="31" t="n"/>
      <c r="N512" s="31" t="n"/>
      <c r="O512" s="32" t="n"/>
    </row>
    <row r="513">
      <c r="A513" s="30">
        <f>IF(Database!B513="","",ROW()-1)</f>
        <v/>
      </c>
      <c r="B513" s="30">
        <f>IF(Database!B513="","",Database!B513)</f>
        <v/>
      </c>
      <c r="C513" s="87">
        <f>IF(Database!B513="","",Database!A513)</f>
        <v/>
      </c>
      <c r="D513" s="30">
        <f>IF(Database!B513="","",Database!D513)</f>
        <v/>
      </c>
      <c r="E513" s="30">
        <f>IF(Database!B513="","",Database!E513)</f>
        <v/>
      </c>
      <c r="F513" s="30">
        <f>IF(Database!B513="","",Database!F513)</f>
        <v/>
      </c>
      <c r="G513" s="30">
        <f>IF(Database!B513="","",Database!G513)</f>
        <v/>
      </c>
      <c r="H513" s="30">
        <f>IF(Database!B513="","",Database!C513)</f>
        <v/>
      </c>
      <c r="I513" s="30">
        <f>IF(Database!B513="","",Database!H513)</f>
        <v/>
      </c>
      <c r="J513" s="31" t="n"/>
      <c r="K513" s="88" t="n"/>
      <c r="L513" s="31" t="n"/>
      <c r="M513" s="31" t="n"/>
      <c r="N513" s="31" t="n"/>
      <c r="O513" s="32" t="n"/>
    </row>
    <row r="514">
      <c r="A514" s="30">
        <f>IF(Database!B514="","",ROW()-1)</f>
        <v/>
      </c>
      <c r="B514" s="30">
        <f>IF(Database!B514="","",Database!B514)</f>
        <v/>
      </c>
      <c r="C514" s="87">
        <f>IF(Database!B514="","",Database!A514)</f>
        <v/>
      </c>
      <c r="D514" s="30">
        <f>IF(Database!B514="","",Database!D514)</f>
        <v/>
      </c>
      <c r="E514" s="30">
        <f>IF(Database!B514="","",Database!E514)</f>
        <v/>
      </c>
      <c r="F514" s="30">
        <f>IF(Database!B514="","",Database!F514)</f>
        <v/>
      </c>
      <c r="G514" s="30">
        <f>IF(Database!B514="","",Database!G514)</f>
        <v/>
      </c>
      <c r="H514" s="30">
        <f>IF(Database!B514="","",Database!C514)</f>
        <v/>
      </c>
      <c r="I514" s="30">
        <f>IF(Database!B514="","",Database!H514)</f>
        <v/>
      </c>
      <c r="J514" s="31" t="n"/>
      <c r="K514" s="88" t="n"/>
      <c r="L514" s="31" t="n"/>
      <c r="M514" s="31" t="n"/>
      <c r="N514" s="31" t="n"/>
      <c r="O514" s="32" t="n"/>
    </row>
    <row r="515">
      <c r="A515" s="30">
        <f>IF(Database!B515="","",ROW()-1)</f>
        <v/>
      </c>
      <c r="B515" s="30">
        <f>IF(Database!B515="","",Database!B515)</f>
        <v/>
      </c>
      <c r="C515" s="87">
        <f>IF(Database!B515="","",Database!A515)</f>
        <v/>
      </c>
      <c r="D515" s="30">
        <f>IF(Database!B515="","",Database!D515)</f>
        <v/>
      </c>
      <c r="E515" s="30">
        <f>IF(Database!B515="","",Database!E515)</f>
        <v/>
      </c>
      <c r="F515" s="30">
        <f>IF(Database!B515="","",Database!F515)</f>
        <v/>
      </c>
      <c r="G515" s="30">
        <f>IF(Database!B515="","",Database!G515)</f>
        <v/>
      </c>
      <c r="H515" s="30">
        <f>IF(Database!B515="","",Database!C515)</f>
        <v/>
      </c>
      <c r="I515" s="30">
        <f>IF(Database!B515="","",Database!H515)</f>
        <v/>
      </c>
      <c r="J515" s="31" t="n"/>
      <c r="K515" s="88" t="n"/>
      <c r="L515" s="31" t="n"/>
      <c r="M515" s="31" t="n"/>
      <c r="N515" s="31" t="n"/>
      <c r="O515" s="32" t="n"/>
    </row>
    <row r="516">
      <c r="A516" s="30">
        <f>IF(Database!B516="","",ROW()-1)</f>
        <v/>
      </c>
      <c r="B516" s="30">
        <f>IF(Database!B516="","",Database!B516)</f>
        <v/>
      </c>
      <c r="C516" s="87">
        <f>IF(Database!B516="","",Database!A516)</f>
        <v/>
      </c>
      <c r="D516" s="30">
        <f>IF(Database!B516="","",Database!D516)</f>
        <v/>
      </c>
      <c r="E516" s="30">
        <f>IF(Database!B516="","",Database!E516)</f>
        <v/>
      </c>
      <c r="F516" s="30">
        <f>IF(Database!B516="","",Database!F516)</f>
        <v/>
      </c>
      <c r="G516" s="30">
        <f>IF(Database!B516="","",Database!G516)</f>
        <v/>
      </c>
      <c r="H516" s="30">
        <f>IF(Database!B516="","",Database!C516)</f>
        <v/>
      </c>
      <c r="I516" s="30">
        <f>IF(Database!B516="","",Database!H516)</f>
        <v/>
      </c>
      <c r="J516" s="31" t="n"/>
      <c r="K516" s="88" t="n"/>
      <c r="L516" s="31" t="n"/>
      <c r="M516" s="31" t="n"/>
      <c r="N516" s="31" t="n"/>
      <c r="O516" s="32" t="n"/>
    </row>
    <row r="517">
      <c r="A517" s="30">
        <f>IF(Database!B517="","",ROW()-1)</f>
        <v/>
      </c>
      <c r="B517" s="30">
        <f>IF(Database!B517="","",Database!B517)</f>
        <v/>
      </c>
      <c r="C517" s="87">
        <f>IF(Database!B517="","",Database!A517)</f>
        <v/>
      </c>
      <c r="D517" s="30">
        <f>IF(Database!B517="","",Database!D517)</f>
        <v/>
      </c>
      <c r="E517" s="30">
        <f>IF(Database!B517="","",Database!E517)</f>
        <v/>
      </c>
      <c r="F517" s="30">
        <f>IF(Database!B517="","",Database!F517)</f>
        <v/>
      </c>
      <c r="G517" s="30">
        <f>IF(Database!B517="","",Database!G517)</f>
        <v/>
      </c>
      <c r="H517" s="30">
        <f>IF(Database!B517="","",Database!C517)</f>
        <v/>
      </c>
      <c r="I517" s="30">
        <f>IF(Database!B517="","",Database!H517)</f>
        <v/>
      </c>
      <c r="J517" s="31" t="n"/>
      <c r="K517" s="88" t="n"/>
      <c r="L517" s="31" t="n"/>
      <c r="M517" s="31" t="n"/>
      <c r="N517" s="31" t="n"/>
      <c r="O517" s="32" t="n"/>
    </row>
    <row r="518">
      <c r="A518" s="30">
        <f>IF(Database!B518="","",ROW()-1)</f>
        <v/>
      </c>
      <c r="B518" s="30">
        <f>IF(Database!B518="","",Database!B518)</f>
        <v/>
      </c>
      <c r="C518" s="87">
        <f>IF(Database!B518="","",Database!A518)</f>
        <v/>
      </c>
      <c r="D518" s="30">
        <f>IF(Database!B518="","",Database!D518)</f>
        <v/>
      </c>
      <c r="E518" s="30">
        <f>IF(Database!B518="","",Database!E518)</f>
        <v/>
      </c>
      <c r="F518" s="30">
        <f>IF(Database!B518="","",Database!F518)</f>
        <v/>
      </c>
      <c r="G518" s="30">
        <f>IF(Database!B518="","",Database!G518)</f>
        <v/>
      </c>
      <c r="H518" s="30">
        <f>IF(Database!B518="","",Database!C518)</f>
        <v/>
      </c>
      <c r="I518" s="30">
        <f>IF(Database!B518="","",Database!H518)</f>
        <v/>
      </c>
      <c r="J518" s="31" t="n"/>
      <c r="K518" s="88" t="n"/>
      <c r="L518" s="31" t="n"/>
      <c r="M518" s="31" t="n"/>
      <c r="N518" s="31" t="n"/>
      <c r="O518" s="32" t="n"/>
    </row>
    <row r="519">
      <c r="A519" s="30">
        <f>IF(Database!B519="","",ROW()-1)</f>
        <v/>
      </c>
      <c r="B519" s="30">
        <f>IF(Database!B519="","",Database!B519)</f>
        <v/>
      </c>
      <c r="C519" s="87">
        <f>IF(Database!B519="","",Database!A519)</f>
        <v/>
      </c>
      <c r="D519" s="30">
        <f>IF(Database!B519="","",Database!D519)</f>
        <v/>
      </c>
      <c r="E519" s="30">
        <f>IF(Database!B519="","",Database!E519)</f>
        <v/>
      </c>
      <c r="F519" s="30">
        <f>IF(Database!B519="","",Database!F519)</f>
        <v/>
      </c>
      <c r="G519" s="30">
        <f>IF(Database!B519="","",Database!G519)</f>
        <v/>
      </c>
      <c r="H519" s="30">
        <f>IF(Database!B519="","",Database!C519)</f>
        <v/>
      </c>
      <c r="I519" s="30">
        <f>IF(Database!B519="","",Database!H519)</f>
        <v/>
      </c>
      <c r="J519" s="31" t="n"/>
      <c r="K519" s="88" t="n"/>
      <c r="L519" s="31" t="n"/>
      <c r="M519" s="31" t="n"/>
      <c r="N519" s="31" t="n"/>
      <c r="O519" s="32" t="n"/>
    </row>
    <row r="520">
      <c r="A520" s="30">
        <f>IF(Database!B520="","",ROW()-1)</f>
        <v/>
      </c>
      <c r="B520" s="30">
        <f>IF(Database!B520="","",Database!B520)</f>
        <v/>
      </c>
      <c r="C520" s="87">
        <f>IF(Database!B520="","",Database!A520)</f>
        <v/>
      </c>
      <c r="D520" s="30">
        <f>IF(Database!B520="","",Database!D520)</f>
        <v/>
      </c>
      <c r="E520" s="30">
        <f>IF(Database!B520="","",Database!E520)</f>
        <v/>
      </c>
      <c r="F520" s="30">
        <f>IF(Database!B520="","",Database!F520)</f>
        <v/>
      </c>
      <c r="G520" s="30">
        <f>IF(Database!B520="","",Database!G520)</f>
        <v/>
      </c>
      <c r="H520" s="30">
        <f>IF(Database!B520="","",Database!C520)</f>
        <v/>
      </c>
      <c r="I520" s="30">
        <f>IF(Database!B520="","",Database!H520)</f>
        <v/>
      </c>
      <c r="J520" s="31" t="n"/>
      <c r="K520" s="88" t="n"/>
      <c r="L520" s="31" t="n"/>
      <c r="M520" s="31" t="n"/>
      <c r="N520" s="31" t="n"/>
      <c r="O520" s="32" t="n"/>
    </row>
    <row r="521">
      <c r="A521" s="30">
        <f>IF(Database!B521="","",ROW()-1)</f>
        <v/>
      </c>
      <c r="B521" s="30">
        <f>IF(Database!B521="","",Database!B521)</f>
        <v/>
      </c>
      <c r="C521" s="87">
        <f>IF(Database!B521="","",Database!A521)</f>
        <v/>
      </c>
      <c r="D521" s="30">
        <f>IF(Database!B521="","",Database!D521)</f>
        <v/>
      </c>
      <c r="E521" s="30">
        <f>IF(Database!B521="","",Database!E521)</f>
        <v/>
      </c>
      <c r="F521" s="30">
        <f>IF(Database!B521="","",Database!F521)</f>
        <v/>
      </c>
      <c r="G521" s="30">
        <f>IF(Database!B521="","",Database!G521)</f>
        <v/>
      </c>
      <c r="H521" s="30">
        <f>IF(Database!B521="","",Database!C521)</f>
        <v/>
      </c>
      <c r="I521" s="30">
        <f>IF(Database!B521="","",Database!H521)</f>
        <v/>
      </c>
      <c r="J521" s="31" t="n"/>
      <c r="K521" s="88" t="n"/>
      <c r="L521" s="31" t="n"/>
      <c r="M521" s="31" t="n"/>
      <c r="N521" s="31" t="n"/>
      <c r="O521" s="32" t="n"/>
    </row>
    <row r="522">
      <c r="A522" s="30">
        <f>IF(Database!B522="","",ROW()-1)</f>
        <v/>
      </c>
      <c r="B522" s="30">
        <f>IF(Database!B522="","",Database!B522)</f>
        <v/>
      </c>
      <c r="C522" s="87">
        <f>IF(Database!B522="","",Database!A522)</f>
        <v/>
      </c>
      <c r="D522" s="30">
        <f>IF(Database!B522="","",Database!D522)</f>
        <v/>
      </c>
      <c r="E522" s="30">
        <f>IF(Database!B522="","",Database!E522)</f>
        <v/>
      </c>
      <c r="F522" s="30">
        <f>IF(Database!B522="","",Database!F522)</f>
        <v/>
      </c>
      <c r="G522" s="30">
        <f>IF(Database!B522="","",Database!G522)</f>
        <v/>
      </c>
      <c r="H522" s="30">
        <f>IF(Database!B522="","",Database!C522)</f>
        <v/>
      </c>
      <c r="I522" s="30">
        <f>IF(Database!B522="","",Database!H522)</f>
        <v/>
      </c>
      <c r="J522" s="31" t="n"/>
      <c r="K522" s="88" t="n"/>
      <c r="L522" s="31" t="n"/>
      <c r="M522" s="31" t="n"/>
      <c r="N522" s="31" t="n"/>
      <c r="O522" s="32" t="n"/>
    </row>
    <row r="523">
      <c r="A523" s="30">
        <f>IF(Database!B523="","",ROW()-1)</f>
        <v/>
      </c>
      <c r="B523" s="30">
        <f>IF(Database!B523="","",Database!B523)</f>
        <v/>
      </c>
      <c r="C523" s="87">
        <f>IF(Database!B523="","",Database!A523)</f>
        <v/>
      </c>
      <c r="D523" s="30">
        <f>IF(Database!B523="","",Database!D523)</f>
        <v/>
      </c>
      <c r="E523" s="30">
        <f>IF(Database!B523="","",Database!E523)</f>
        <v/>
      </c>
      <c r="F523" s="30">
        <f>IF(Database!B523="","",Database!F523)</f>
        <v/>
      </c>
      <c r="G523" s="30">
        <f>IF(Database!B523="","",Database!G523)</f>
        <v/>
      </c>
      <c r="H523" s="30">
        <f>IF(Database!B523="","",Database!C523)</f>
        <v/>
      </c>
      <c r="I523" s="30">
        <f>IF(Database!B523="","",Database!H523)</f>
        <v/>
      </c>
      <c r="J523" s="31" t="n"/>
      <c r="K523" s="88" t="n"/>
      <c r="L523" s="31" t="n"/>
      <c r="M523" s="31" t="n"/>
      <c r="N523" s="31" t="n"/>
      <c r="O523" s="32" t="n"/>
    </row>
    <row r="524">
      <c r="A524" s="30">
        <f>IF(Database!B524="","",ROW()-1)</f>
        <v/>
      </c>
      <c r="B524" s="30">
        <f>IF(Database!B524="","",Database!B524)</f>
        <v/>
      </c>
      <c r="C524" s="87">
        <f>IF(Database!B524="","",Database!A524)</f>
        <v/>
      </c>
      <c r="D524" s="30">
        <f>IF(Database!B524="","",Database!D524)</f>
        <v/>
      </c>
      <c r="E524" s="30">
        <f>IF(Database!B524="","",Database!E524)</f>
        <v/>
      </c>
      <c r="F524" s="30">
        <f>IF(Database!B524="","",Database!F524)</f>
        <v/>
      </c>
      <c r="G524" s="30">
        <f>IF(Database!B524="","",Database!G524)</f>
        <v/>
      </c>
      <c r="H524" s="30">
        <f>IF(Database!B524="","",Database!C524)</f>
        <v/>
      </c>
      <c r="I524" s="30">
        <f>IF(Database!B524="","",Database!H524)</f>
        <v/>
      </c>
      <c r="J524" s="31" t="n"/>
      <c r="K524" s="88" t="n"/>
      <c r="L524" s="31" t="n"/>
      <c r="M524" s="31" t="n"/>
      <c r="N524" s="31" t="n"/>
      <c r="O524" s="32" t="n"/>
    </row>
    <row r="525">
      <c r="A525" s="30">
        <f>IF(Database!B525="","",ROW()-1)</f>
        <v/>
      </c>
      <c r="B525" s="30">
        <f>IF(Database!B525="","",Database!B525)</f>
        <v/>
      </c>
      <c r="C525" s="87">
        <f>IF(Database!B525="","",Database!A525)</f>
        <v/>
      </c>
      <c r="D525" s="30">
        <f>IF(Database!B525="","",Database!D525)</f>
        <v/>
      </c>
      <c r="E525" s="30">
        <f>IF(Database!B525="","",Database!E525)</f>
        <v/>
      </c>
      <c r="F525" s="30">
        <f>IF(Database!B525="","",Database!F525)</f>
        <v/>
      </c>
      <c r="G525" s="30">
        <f>IF(Database!B525="","",Database!G525)</f>
        <v/>
      </c>
      <c r="H525" s="30">
        <f>IF(Database!B525="","",Database!C525)</f>
        <v/>
      </c>
      <c r="I525" s="30">
        <f>IF(Database!B525="","",Database!H525)</f>
        <v/>
      </c>
      <c r="J525" s="31" t="n"/>
      <c r="K525" s="88" t="n"/>
      <c r="L525" s="31" t="n"/>
      <c r="M525" s="31" t="n"/>
      <c r="N525" s="31" t="n"/>
      <c r="O525" s="32" t="n"/>
    </row>
    <row r="526">
      <c r="A526" s="30">
        <f>IF(Database!B526="","",ROW()-1)</f>
        <v/>
      </c>
      <c r="B526" s="30">
        <f>IF(Database!B526="","",Database!B526)</f>
        <v/>
      </c>
      <c r="C526" s="87">
        <f>IF(Database!B526="","",Database!A526)</f>
        <v/>
      </c>
      <c r="D526" s="30">
        <f>IF(Database!B526="","",Database!D526)</f>
        <v/>
      </c>
      <c r="E526" s="30">
        <f>IF(Database!B526="","",Database!E526)</f>
        <v/>
      </c>
      <c r="F526" s="30">
        <f>IF(Database!B526="","",Database!F526)</f>
        <v/>
      </c>
      <c r="G526" s="30">
        <f>IF(Database!B526="","",Database!G526)</f>
        <v/>
      </c>
      <c r="H526" s="30">
        <f>IF(Database!B526="","",Database!C526)</f>
        <v/>
      </c>
      <c r="I526" s="30">
        <f>IF(Database!B526="","",Database!H526)</f>
        <v/>
      </c>
      <c r="J526" s="31" t="n"/>
      <c r="K526" s="88" t="n"/>
      <c r="L526" s="31" t="n"/>
      <c r="M526" s="31" t="n"/>
      <c r="N526" s="31" t="n"/>
      <c r="O526" s="32" t="n"/>
    </row>
    <row r="527">
      <c r="A527" s="30">
        <f>IF(Database!B527="","",ROW()-1)</f>
        <v/>
      </c>
      <c r="B527" s="30">
        <f>IF(Database!B527="","",Database!B527)</f>
        <v/>
      </c>
      <c r="C527" s="87">
        <f>IF(Database!B527="","",Database!A527)</f>
        <v/>
      </c>
      <c r="D527" s="30">
        <f>IF(Database!B527="","",Database!D527)</f>
        <v/>
      </c>
      <c r="E527" s="30">
        <f>IF(Database!B527="","",Database!E527)</f>
        <v/>
      </c>
      <c r="F527" s="30">
        <f>IF(Database!B527="","",Database!F527)</f>
        <v/>
      </c>
      <c r="G527" s="30">
        <f>IF(Database!B527="","",Database!G527)</f>
        <v/>
      </c>
      <c r="H527" s="30">
        <f>IF(Database!B527="","",Database!C527)</f>
        <v/>
      </c>
      <c r="I527" s="30">
        <f>IF(Database!B527="","",Database!H527)</f>
        <v/>
      </c>
      <c r="J527" s="31" t="n"/>
      <c r="K527" s="88" t="n"/>
      <c r="L527" s="31" t="n"/>
      <c r="M527" s="31" t="n"/>
      <c r="N527" s="31" t="n"/>
      <c r="O527" s="32" t="n"/>
    </row>
    <row r="528">
      <c r="A528" s="30">
        <f>IF(Database!B528="","",ROW()-1)</f>
        <v/>
      </c>
      <c r="B528" s="30">
        <f>IF(Database!B528="","",Database!B528)</f>
        <v/>
      </c>
      <c r="C528" s="87">
        <f>IF(Database!B528="","",Database!A528)</f>
        <v/>
      </c>
      <c r="D528" s="30">
        <f>IF(Database!B528="","",Database!D528)</f>
        <v/>
      </c>
      <c r="E528" s="30">
        <f>IF(Database!B528="","",Database!E528)</f>
        <v/>
      </c>
      <c r="F528" s="30">
        <f>IF(Database!B528="","",Database!F528)</f>
        <v/>
      </c>
      <c r="G528" s="30">
        <f>IF(Database!B528="","",Database!G528)</f>
        <v/>
      </c>
      <c r="H528" s="30">
        <f>IF(Database!B528="","",Database!C528)</f>
        <v/>
      </c>
      <c r="I528" s="30">
        <f>IF(Database!B528="","",Database!H528)</f>
        <v/>
      </c>
      <c r="J528" s="31" t="n"/>
      <c r="K528" s="88" t="n"/>
      <c r="L528" s="31" t="n"/>
      <c r="M528" s="31" t="n"/>
      <c r="N528" s="31" t="n"/>
      <c r="O528" s="32" t="n"/>
    </row>
    <row r="529">
      <c r="A529" s="30">
        <f>IF(Database!B529="","",ROW()-1)</f>
        <v/>
      </c>
      <c r="B529" s="30">
        <f>IF(Database!B529="","",Database!B529)</f>
        <v/>
      </c>
      <c r="C529" s="87">
        <f>IF(Database!B529="","",Database!A529)</f>
        <v/>
      </c>
      <c r="D529" s="30">
        <f>IF(Database!B529="","",Database!D529)</f>
        <v/>
      </c>
      <c r="E529" s="30">
        <f>IF(Database!B529="","",Database!E529)</f>
        <v/>
      </c>
      <c r="F529" s="30">
        <f>IF(Database!B529="","",Database!F529)</f>
        <v/>
      </c>
      <c r="G529" s="30">
        <f>IF(Database!B529="","",Database!G529)</f>
        <v/>
      </c>
      <c r="H529" s="30">
        <f>IF(Database!B529="","",Database!C529)</f>
        <v/>
      </c>
      <c r="I529" s="30">
        <f>IF(Database!B529="","",Database!H529)</f>
        <v/>
      </c>
      <c r="J529" s="31" t="n"/>
      <c r="K529" s="88" t="n"/>
      <c r="L529" s="31" t="n"/>
      <c r="M529" s="31" t="n"/>
      <c r="N529" s="31" t="n"/>
      <c r="O529" s="32" t="n"/>
    </row>
    <row r="530">
      <c r="A530" s="30">
        <f>IF(Database!B530="","",ROW()-1)</f>
        <v/>
      </c>
      <c r="B530" s="30">
        <f>IF(Database!B530="","",Database!B530)</f>
        <v/>
      </c>
      <c r="C530" s="87">
        <f>IF(Database!B530="","",Database!A530)</f>
        <v/>
      </c>
      <c r="D530" s="30">
        <f>IF(Database!B530="","",Database!D530)</f>
        <v/>
      </c>
      <c r="E530" s="30">
        <f>IF(Database!B530="","",Database!E530)</f>
        <v/>
      </c>
      <c r="F530" s="30">
        <f>IF(Database!B530="","",Database!F530)</f>
        <v/>
      </c>
      <c r="G530" s="30">
        <f>IF(Database!B530="","",Database!G530)</f>
        <v/>
      </c>
      <c r="H530" s="30">
        <f>IF(Database!B530="","",Database!C530)</f>
        <v/>
      </c>
      <c r="I530" s="30">
        <f>IF(Database!B530="","",Database!H530)</f>
        <v/>
      </c>
      <c r="J530" s="31" t="n"/>
      <c r="K530" s="88" t="n"/>
      <c r="L530" s="31" t="n"/>
      <c r="M530" s="31" t="n"/>
      <c r="N530" s="31" t="n"/>
      <c r="O530" s="32" t="n"/>
    </row>
    <row r="531">
      <c r="A531" s="30">
        <f>IF(Database!B531="","",ROW()-1)</f>
        <v/>
      </c>
      <c r="B531" s="30">
        <f>IF(Database!B531="","",Database!B531)</f>
        <v/>
      </c>
      <c r="C531" s="87">
        <f>IF(Database!B531="","",Database!A531)</f>
        <v/>
      </c>
      <c r="D531" s="30">
        <f>IF(Database!B531="","",Database!D531)</f>
        <v/>
      </c>
      <c r="E531" s="30">
        <f>IF(Database!B531="","",Database!E531)</f>
        <v/>
      </c>
      <c r="F531" s="30">
        <f>IF(Database!B531="","",Database!F531)</f>
        <v/>
      </c>
      <c r="G531" s="30">
        <f>IF(Database!B531="","",Database!G531)</f>
        <v/>
      </c>
      <c r="H531" s="30">
        <f>IF(Database!B531="","",Database!C531)</f>
        <v/>
      </c>
      <c r="I531" s="30">
        <f>IF(Database!B531="","",Database!H531)</f>
        <v/>
      </c>
      <c r="J531" s="31" t="n"/>
      <c r="K531" s="88" t="n"/>
      <c r="L531" s="31" t="n"/>
      <c r="M531" s="31" t="n"/>
      <c r="N531" s="31" t="n"/>
      <c r="O531" s="32" t="n"/>
    </row>
    <row r="532">
      <c r="A532" s="30">
        <f>IF(Database!B532="","",ROW()-1)</f>
        <v/>
      </c>
      <c r="B532" s="30">
        <f>IF(Database!B532="","",Database!B532)</f>
        <v/>
      </c>
      <c r="C532" s="87">
        <f>IF(Database!B532="","",Database!A532)</f>
        <v/>
      </c>
      <c r="D532" s="30">
        <f>IF(Database!B532="","",Database!D532)</f>
        <v/>
      </c>
      <c r="E532" s="30">
        <f>IF(Database!B532="","",Database!E532)</f>
        <v/>
      </c>
      <c r="F532" s="30">
        <f>IF(Database!B532="","",Database!F532)</f>
        <v/>
      </c>
      <c r="G532" s="30">
        <f>IF(Database!B532="","",Database!G532)</f>
        <v/>
      </c>
      <c r="H532" s="30">
        <f>IF(Database!B532="","",Database!C532)</f>
        <v/>
      </c>
      <c r="I532" s="30">
        <f>IF(Database!B532="","",Database!H532)</f>
        <v/>
      </c>
      <c r="J532" s="31" t="n"/>
      <c r="K532" s="88" t="n"/>
      <c r="L532" s="31" t="n"/>
      <c r="M532" s="31" t="n"/>
      <c r="N532" s="31" t="n"/>
      <c r="O532" s="32" t="n"/>
    </row>
    <row r="533">
      <c r="A533" s="30">
        <f>IF(Database!B533="","",ROW()-1)</f>
        <v/>
      </c>
      <c r="B533" s="30">
        <f>IF(Database!B533="","",Database!B533)</f>
        <v/>
      </c>
      <c r="C533" s="87">
        <f>IF(Database!B533="","",Database!A533)</f>
        <v/>
      </c>
      <c r="D533" s="30">
        <f>IF(Database!B533="","",Database!D533)</f>
        <v/>
      </c>
      <c r="E533" s="30">
        <f>IF(Database!B533="","",Database!E533)</f>
        <v/>
      </c>
      <c r="F533" s="30">
        <f>IF(Database!B533="","",Database!F533)</f>
        <v/>
      </c>
      <c r="G533" s="30">
        <f>IF(Database!B533="","",Database!G533)</f>
        <v/>
      </c>
      <c r="H533" s="30">
        <f>IF(Database!B533="","",Database!C533)</f>
        <v/>
      </c>
      <c r="I533" s="30">
        <f>IF(Database!B533="","",Database!H533)</f>
        <v/>
      </c>
      <c r="J533" s="31" t="n"/>
      <c r="K533" s="88" t="n"/>
      <c r="L533" s="31" t="n"/>
      <c r="M533" s="31" t="n"/>
      <c r="N533" s="31" t="n"/>
      <c r="O533" s="32" t="n"/>
    </row>
    <row r="534">
      <c r="A534" s="30">
        <f>IF(Database!B534="","",ROW()-1)</f>
        <v/>
      </c>
      <c r="B534" s="30">
        <f>IF(Database!B534="","",Database!B534)</f>
        <v/>
      </c>
      <c r="C534" s="87">
        <f>IF(Database!B534="","",Database!A534)</f>
        <v/>
      </c>
      <c r="D534" s="30">
        <f>IF(Database!B534="","",Database!D534)</f>
        <v/>
      </c>
      <c r="E534" s="30">
        <f>IF(Database!B534="","",Database!E534)</f>
        <v/>
      </c>
      <c r="F534" s="30">
        <f>IF(Database!B534="","",Database!F534)</f>
        <v/>
      </c>
      <c r="G534" s="30">
        <f>IF(Database!B534="","",Database!G534)</f>
        <v/>
      </c>
      <c r="H534" s="30">
        <f>IF(Database!B534="","",Database!C534)</f>
        <v/>
      </c>
      <c r="I534" s="30">
        <f>IF(Database!B534="","",Database!H534)</f>
        <v/>
      </c>
      <c r="J534" s="31" t="n"/>
      <c r="K534" s="88" t="n"/>
      <c r="L534" s="31" t="n"/>
      <c r="M534" s="31" t="n"/>
      <c r="N534" s="31" t="n"/>
      <c r="O534" s="32" t="n"/>
    </row>
    <row r="535">
      <c r="A535" s="30">
        <f>IF(Database!B535="","",ROW()-1)</f>
        <v/>
      </c>
      <c r="B535" s="30">
        <f>IF(Database!B535="","",Database!B535)</f>
        <v/>
      </c>
      <c r="C535" s="87">
        <f>IF(Database!B535="","",Database!A535)</f>
        <v/>
      </c>
      <c r="D535" s="30">
        <f>IF(Database!B535="","",Database!D535)</f>
        <v/>
      </c>
      <c r="E535" s="30">
        <f>IF(Database!B535="","",Database!E535)</f>
        <v/>
      </c>
      <c r="F535" s="30">
        <f>IF(Database!B535="","",Database!F535)</f>
        <v/>
      </c>
      <c r="G535" s="30">
        <f>IF(Database!B535="","",Database!G535)</f>
        <v/>
      </c>
      <c r="H535" s="30">
        <f>IF(Database!B535="","",Database!C535)</f>
        <v/>
      </c>
      <c r="I535" s="30">
        <f>IF(Database!B535="","",Database!H535)</f>
        <v/>
      </c>
      <c r="J535" s="31" t="n"/>
      <c r="K535" s="88" t="n"/>
      <c r="L535" s="31" t="n"/>
      <c r="M535" s="31" t="n"/>
      <c r="N535" s="31" t="n"/>
      <c r="O535" s="32" t="n"/>
    </row>
    <row r="536">
      <c r="A536" s="30">
        <f>IF(Database!B536="","",ROW()-1)</f>
        <v/>
      </c>
      <c r="B536" s="30">
        <f>IF(Database!B536="","",Database!B536)</f>
        <v/>
      </c>
      <c r="C536" s="87">
        <f>IF(Database!B536="","",Database!A536)</f>
        <v/>
      </c>
      <c r="D536" s="30">
        <f>IF(Database!B536="","",Database!D536)</f>
        <v/>
      </c>
      <c r="E536" s="30">
        <f>IF(Database!B536="","",Database!E536)</f>
        <v/>
      </c>
      <c r="F536" s="30">
        <f>IF(Database!B536="","",Database!F536)</f>
        <v/>
      </c>
      <c r="G536" s="30">
        <f>IF(Database!B536="","",Database!G536)</f>
        <v/>
      </c>
      <c r="H536" s="30">
        <f>IF(Database!B536="","",Database!C536)</f>
        <v/>
      </c>
      <c r="I536" s="30">
        <f>IF(Database!B536="","",Database!H536)</f>
        <v/>
      </c>
      <c r="J536" s="31" t="n"/>
      <c r="K536" s="88" t="n"/>
      <c r="L536" s="31" t="n"/>
      <c r="M536" s="31" t="n"/>
      <c r="N536" s="31" t="n"/>
      <c r="O536" s="32" t="n"/>
    </row>
    <row r="537">
      <c r="A537" s="30">
        <f>IF(Database!B537="","",ROW()-1)</f>
        <v/>
      </c>
      <c r="B537" s="30">
        <f>IF(Database!B537="","",Database!B537)</f>
        <v/>
      </c>
      <c r="C537" s="87">
        <f>IF(Database!B537="","",Database!A537)</f>
        <v/>
      </c>
      <c r="D537" s="30">
        <f>IF(Database!B537="","",Database!D537)</f>
        <v/>
      </c>
      <c r="E537" s="30">
        <f>IF(Database!B537="","",Database!E537)</f>
        <v/>
      </c>
      <c r="F537" s="30">
        <f>IF(Database!B537="","",Database!F537)</f>
        <v/>
      </c>
      <c r="G537" s="30">
        <f>IF(Database!B537="","",Database!G537)</f>
        <v/>
      </c>
      <c r="H537" s="30">
        <f>IF(Database!B537="","",Database!C537)</f>
        <v/>
      </c>
      <c r="I537" s="30">
        <f>IF(Database!B537="","",Database!H537)</f>
        <v/>
      </c>
      <c r="J537" s="31" t="n"/>
      <c r="K537" s="88" t="n"/>
      <c r="L537" s="31" t="n"/>
      <c r="M537" s="31" t="n"/>
      <c r="N537" s="31" t="n"/>
      <c r="O537" s="32" t="n"/>
    </row>
    <row r="538">
      <c r="A538" s="30">
        <f>IF(Database!B538="","",ROW()-1)</f>
        <v/>
      </c>
      <c r="B538" s="30">
        <f>IF(Database!B538="","",Database!B538)</f>
        <v/>
      </c>
      <c r="C538" s="87">
        <f>IF(Database!B538="","",Database!A538)</f>
        <v/>
      </c>
      <c r="D538" s="30">
        <f>IF(Database!B538="","",Database!D538)</f>
        <v/>
      </c>
      <c r="E538" s="30">
        <f>IF(Database!B538="","",Database!E538)</f>
        <v/>
      </c>
      <c r="F538" s="30">
        <f>IF(Database!B538="","",Database!F538)</f>
        <v/>
      </c>
      <c r="G538" s="30">
        <f>IF(Database!B538="","",Database!G538)</f>
        <v/>
      </c>
      <c r="H538" s="30">
        <f>IF(Database!B538="","",Database!C538)</f>
        <v/>
      </c>
      <c r="I538" s="30">
        <f>IF(Database!B538="","",Database!H538)</f>
        <v/>
      </c>
      <c r="J538" s="31" t="n"/>
      <c r="K538" s="88" t="n"/>
      <c r="L538" s="31" t="n"/>
      <c r="M538" s="31" t="n"/>
      <c r="N538" s="31" t="n"/>
      <c r="O538" s="32" t="n"/>
    </row>
    <row r="539">
      <c r="A539" s="30">
        <f>IF(Database!B539="","",ROW()-1)</f>
        <v/>
      </c>
      <c r="B539" s="30">
        <f>IF(Database!B539="","",Database!B539)</f>
        <v/>
      </c>
      <c r="C539" s="87">
        <f>IF(Database!B539="","",Database!A539)</f>
        <v/>
      </c>
      <c r="D539" s="30">
        <f>IF(Database!B539="","",Database!D539)</f>
        <v/>
      </c>
      <c r="E539" s="30">
        <f>IF(Database!B539="","",Database!E539)</f>
        <v/>
      </c>
      <c r="F539" s="30">
        <f>IF(Database!B539="","",Database!F539)</f>
        <v/>
      </c>
      <c r="G539" s="30">
        <f>IF(Database!B539="","",Database!G539)</f>
        <v/>
      </c>
      <c r="H539" s="30">
        <f>IF(Database!B539="","",Database!C539)</f>
        <v/>
      </c>
      <c r="I539" s="30">
        <f>IF(Database!B539="","",Database!H539)</f>
        <v/>
      </c>
      <c r="J539" s="31" t="n"/>
      <c r="K539" s="88" t="n"/>
      <c r="L539" s="31" t="n"/>
      <c r="M539" s="31" t="n"/>
      <c r="N539" s="31" t="n"/>
      <c r="O539" s="32" t="n"/>
    </row>
    <row r="540">
      <c r="A540" s="30">
        <f>IF(Database!B540="","",ROW()-1)</f>
        <v/>
      </c>
      <c r="B540" s="30">
        <f>IF(Database!B540="","",Database!B540)</f>
        <v/>
      </c>
      <c r="C540" s="87">
        <f>IF(Database!B540="","",Database!A540)</f>
        <v/>
      </c>
      <c r="D540" s="30">
        <f>IF(Database!B540="","",Database!D540)</f>
        <v/>
      </c>
      <c r="E540" s="30">
        <f>IF(Database!B540="","",Database!E540)</f>
        <v/>
      </c>
      <c r="F540" s="30">
        <f>IF(Database!B540="","",Database!F540)</f>
        <v/>
      </c>
      <c r="G540" s="30">
        <f>IF(Database!B540="","",Database!G540)</f>
        <v/>
      </c>
      <c r="H540" s="30">
        <f>IF(Database!B540="","",Database!C540)</f>
        <v/>
      </c>
      <c r="I540" s="30">
        <f>IF(Database!B540="","",Database!H540)</f>
        <v/>
      </c>
      <c r="J540" s="31" t="n"/>
      <c r="K540" s="88" t="n"/>
      <c r="L540" s="31" t="n"/>
      <c r="M540" s="31" t="n"/>
      <c r="N540" s="31" t="n"/>
      <c r="O540" s="32" t="n"/>
    </row>
    <row r="541">
      <c r="A541" s="30">
        <f>IF(Database!B541="","",ROW()-1)</f>
        <v/>
      </c>
      <c r="B541" s="30">
        <f>IF(Database!B541="","",Database!B541)</f>
        <v/>
      </c>
      <c r="C541" s="87">
        <f>IF(Database!B541="","",Database!A541)</f>
        <v/>
      </c>
      <c r="D541" s="30">
        <f>IF(Database!B541="","",Database!D541)</f>
        <v/>
      </c>
      <c r="E541" s="30">
        <f>IF(Database!B541="","",Database!E541)</f>
        <v/>
      </c>
      <c r="F541" s="30">
        <f>IF(Database!B541="","",Database!F541)</f>
        <v/>
      </c>
      <c r="G541" s="30">
        <f>IF(Database!B541="","",Database!G541)</f>
        <v/>
      </c>
      <c r="H541" s="30">
        <f>IF(Database!B541="","",Database!C541)</f>
        <v/>
      </c>
      <c r="I541" s="30">
        <f>IF(Database!B541="","",Database!H541)</f>
        <v/>
      </c>
      <c r="J541" s="31" t="n"/>
      <c r="K541" s="88" t="n"/>
      <c r="L541" s="31" t="n"/>
      <c r="M541" s="31" t="n"/>
      <c r="N541" s="31" t="n"/>
      <c r="O541" s="32" t="n"/>
    </row>
    <row r="542">
      <c r="A542" s="30">
        <f>IF(Database!B542="","",ROW()-1)</f>
        <v/>
      </c>
      <c r="B542" s="30">
        <f>IF(Database!B542="","",Database!B542)</f>
        <v/>
      </c>
      <c r="C542" s="87">
        <f>IF(Database!B542="","",Database!A542)</f>
        <v/>
      </c>
      <c r="D542" s="30">
        <f>IF(Database!B542="","",Database!D542)</f>
        <v/>
      </c>
      <c r="E542" s="30">
        <f>IF(Database!B542="","",Database!E542)</f>
        <v/>
      </c>
      <c r="F542" s="30">
        <f>IF(Database!B542="","",Database!F542)</f>
        <v/>
      </c>
      <c r="G542" s="30">
        <f>IF(Database!B542="","",Database!G542)</f>
        <v/>
      </c>
      <c r="H542" s="30">
        <f>IF(Database!B542="","",Database!C542)</f>
        <v/>
      </c>
      <c r="I542" s="30">
        <f>IF(Database!B542="","",Database!H542)</f>
        <v/>
      </c>
      <c r="J542" s="31" t="n"/>
      <c r="K542" s="88" t="n"/>
      <c r="L542" s="31" t="n"/>
      <c r="M542" s="31" t="n"/>
      <c r="N542" s="31" t="n"/>
      <c r="O542" s="32" t="n"/>
    </row>
    <row r="543">
      <c r="A543" s="30">
        <f>IF(Database!B543="","",ROW()-1)</f>
        <v/>
      </c>
      <c r="B543" s="30">
        <f>IF(Database!B543="","",Database!B543)</f>
        <v/>
      </c>
      <c r="C543" s="87">
        <f>IF(Database!B543="","",Database!A543)</f>
        <v/>
      </c>
      <c r="D543" s="30">
        <f>IF(Database!B543="","",Database!D543)</f>
        <v/>
      </c>
      <c r="E543" s="30">
        <f>IF(Database!B543="","",Database!E543)</f>
        <v/>
      </c>
      <c r="F543" s="30">
        <f>IF(Database!B543="","",Database!F543)</f>
        <v/>
      </c>
      <c r="G543" s="30">
        <f>IF(Database!B543="","",Database!G543)</f>
        <v/>
      </c>
      <c r="H543" s="30">
        <f>IF(Database!B543="","",Database!C543)</f>
        <v/>
      </c>
      <c r="I543" s="30">
        <f>IF(Database!B543="","",Database!H543)</f>
        <v/>
      </c>
      <c r="J543" s="31" t="n"/>
      <c r="K543" s="88" t="n"/>
      <c r="L543" s="31" t="n"/>
      <c r="M543" s="31" t="n"/>
      <c r="N543" s="31" t="n"/>
      <c r="O543" s="32" t="n"/>
    </row>
    <row r="544">
      <c r="A544" s="30">
        <f>IF(Database!B544="","",ROW()-1)</f>
        <v/>
      </c>
      <c r="B544" s="30">
        <f>IF(Database!B544="","",Database!B544)</f>
        <v/>
      </c>
      <c r="C544" s="87">
        <f>IF(Database!B544="","",Database!A544)</f>
        <v/>
      </c>
      <c r="D544" s="30">
        <f>IF(Database!B544="","",Database!D544)</f>
        <v/>
      </c>
      <c r="E544" s="30">
        <f>IF(Database!B544="","",Database!E544)</f>
        <v/>
      </c>
      <c r="F544" s="30">
        <f>IF(Database!B544="","",Database!F544)</f>
        <v/>
      </c>
      <c r="G544" s="30">
        <f>IF(Database!B544="","",Database!G544)</f>
        <v/>
      </c>
      <c r="H544" s="30">
        <f>IF(Database!B544="","",Database!C544)</f>
        <v/>
      </c>
      <c r="I544" s="30">
        <f>IF(Database!B544="","",Database!H544)</f>
        <v/>
      </c>
      <c r="J544" s="31" t="n"/>
      <c r="K544" s="88" t="n"/>
      <c r="L544" s="31" t="n"/>
      <c r="M544" s="31" t="n"/>
      <c r="N544" s="31" t="n"/>
      <c r="O544" s="32" t="n"/>
    </row>
    <row r="545">
      <c r="A545" s="30">
        <f>IF(Database!B545="","",ROW()-1)</f>
        <v/>
      </c>
      <c r="B545" s="30">
        <f>IF(Database!B545="","",Database!B545)</f>
        <v/>
      </c>
      <c r="C545" s="87">
        <f>IF(Database!B545="","",Database!A545)</f>
        <v/>
      </c>
      <c r="D545" s="30">
        <f>IF(Database!B545="","",Database!D545)</f>
        <v/>
      </c>
      <c r="E545" s="30">
        <f>IF(Database!B545="","",Database!E545)</f>
        <v/>
      </c>
      <c r="F545" s="30">
        <f>IF(Database!B545="","",Database!F545)</f>
        <v/>
      </c>
      <c r="G545" s="30">
        <f>IF(Database!B545="","",Database!G545)</f>
        <v/>
      </c>
      <c r="H545" s="30">
        <f>IF(Database!B545="","",Database!C545)</f>
        <v/>
      </c>
      <c r="I545" s="30">
        <f>IF(Database!B545="","",Database!H545)</f>
        <v/>
      </c>
      <c r="J545" s="31" t="n"/>
      <c r="K545" s="88" t="n"/>
      <c r="L545" s="31" t="n"/>
      <c r="M545" s="31" t="n"/>
      <c r="N545" s="31" t="n"/>
      <c r="O545" s="32" t="n"/>
    </row>
    <row r="546">
      <c r="A546" s="30">
        <f>IF(Database!B546="","",ROW()-1)</f>
        <v/>
      </c>
      <c r="B546" s="30">
        <f>IF(Database!B546="","",Database!B546)</f>
        <v/>
      </c>
      <c r="C546" s="87">
        <f>IF(Database!B546="","",Database!A546)</f>
        <v/>
      </c>
      <c r="D546" s="30">
        <f>IF(Database!B546="","",Database!D546)</f>
        <v/>
      </c>
      <c r="E546" s="30">
        <f>IF(Database!B546="","",Database!E546)</f>
        <v/>
      </c>
      <c r="F546" s="30">
        <f>IF(Database!B546="","",Database!F546)</f>
        <v/>
      </c>
      <c r="G546" s="30">
        <f>IF(Database!B546="","",Database!G546)</f>
        <v/>
      </c>
      <c r="H546" s="30">
        <f>IF(Database!B546="","",Database!C546)</f>
        <v/>
      </c>
      <c r="I546" s="30">
        <f>IF(Database!B546="","",Database!H546)</f>
        <v/>
      </c>
      <c r="J546" s="31" t="n"/>
      <c r="K546" s="88" t="n"/>
      <c r="L546" s="31" t="n"/>
      <c r="M546" s="31" t="n"/>
      <c r="N546" s="31" t="n"/>
      <c r="O546" s="32" t="n"/>
    </row>
    <row r="547">
      <c r="A547" s="30">
        <f>IF(Database!B547="","",ROW()-1)</f>
        <v/>
      </c>
      <c r="B547" s="30">
        <f>IF(Database!B547="","",Database!B547)</f>
        <v/>
      </c>
      <c r="C547" s="87">
        <f>IF(Database!B547="","",Database!A547)</f>
        <v/>
      </c>
      <c r="D547" s="30">
        <f>IF(Database!B547="","",Database!D547)</f>
        <v/>
      </c>
      <c r="E547" s="30">
        <f>IF(Database!B547="","",Database!E547)</f>
        <v/>
      </c>
      <c r="F547" s="30">
        <f>IF(Database!B547="","",Database!F547)</f>
        <v/>
      </c>
      <c r="G547" s="30">
        <f>IF(Database!B547="","",Database!G547)</f>
        <v/>
      </c>
      <c r="H547" s="30">
        <f>IF(Database!B547="","",Database!C547)</f>
        <v/>
      </c>
      <c r="I547" s="30">
        <f>IF(Database!B547="","",Database!H547)</f>
        <v/>
      </c>
      <c r="J547" s="31" t="n"/>
      <c r="K547" s="88" t="n"/>
      <c r="L547" s="31" t="n"/>
      <c r="M547" s="31" t="n"/>
      <c r="N547" s="31" t="n"/>
      <c r="O547" s="32" t="n"/>
    </row>
    <row r="548">
      <c r="A548" s="30">
        <f>IF(Database!B548="","",ROW()-1)</f>
        <v/>
      </c>
      <c r="B548" s="30">
        <f>IF(Database!B548="","",Database!B548)</f>
        <v/>
      </c>
      <c r="C548" s="87">
        <f>IF(Database!B548="","",Database!A548)</f>
        <v/>
      </c>
      <c r="D548" s="30">
        <f>IF(Database!B548="","",Database!D548)</f>
        <v/>
      </c>
      <c r="E548" s="30">
        <f>IF(Database!B548="","",Database!E548)</f>
        <v/>
      </c>
      <c r="F548" s="30">
        <f>IF(Database!B548="","",Database!F548)</f>
        <v/>
      </c>
      <c r="G548" s="30">
        <f>IF(Database!B548="","",Database!G548)</f>
        <v/>
      </c>
      <c r="H548" s="30">
        <f>IF(Database!B548="","",Database!C548)</f>
        <v/>
      </c>
      <c r="I548" s="30">
        <f>IF(Database!B548="","",Database!H548)</f>
        <v/>
      </c>
      <c r="J548" s="31" t="n"/>
      <c r="K548" s="88" t="n"/>
      <c r="L548" s="31" t="n"/>
      <c r="M548" s="31" t="n"/>
      <c r="N548" s="31" t="n"/>
      <c r="O548" s="32" t="n"/>
    </row>
    <row r="549">
      <c r="A549" s="30">
        <f>IF(Database!B549="","",ROW()-1)</f>
        <v/>
      </c>
      <c r="B549" s="30">
        <f>IF(Database!B549="","",Database!B549)</f>
        <v/>
      </c>
      <c r="C549" s="87">
        <f>IF(Database!B549="","",Database!A549)</f>
        <v/>
      </c>
      <c r="D549" s="30">
        <f>IF(Database!B549="","",Database!D549)</f>
        <v/>
      </c>
      <c r="E549" s="30">
        <f>IF(Database!B549="","",Database!E549)</f>
        <v/>
      </c>
      <c r="F549" s="30">
        <f>IF(Database!B549="","",Database!F549)</f>
        <v/>
      </c>
      <c r="G549" s="30">
        <f>IF(Database!B549="","",Database!G549)</f>
        <v/>
      </c>
      <c r="H549" s="30">
        <f>IF(Database!B549="","",Database!C549)</f>
        <v/>
      </c>
      <c r="I549" s="30">
        <f>IF(Database!B549="","",Database!H549)</f>
        <v/>
      </c>
      <c r="J549" s="31" t="n"/>
      <c r="K549" s="88" t="n"/>
      <c r="L549" s="31" t="n"/>
      <c r="M549" s="31" t="n"/>
      <c r="N549" s="31" t="n"/>
      <c r="O549" s="32" t="n"/>
    </row>
    <row r="550">
      <c r="A550" s="30">
        <f>IF(Database!B550="","",ROW()-1)</f>
        <v/>
      </c>
      <c r="B550" s="30">
        <f>IF(Database!B550="","",Database!B550)</f>
        <v/>
      </c>
      <c r="C550" s="87">
        <f>IF(Database!B550="","",Database!A550)</f>
        <v/>
      </c>
      <c r="D550" s="30">
        <f>IF(Database!B550="","",Database!D550)</f>
        <v/>
      </c>
      <c r="E550" s="30">
        <f>IF(Database!B550="","",Database!E550)</f>
        <v/>
      </c>
      <c r="F550" s="30">
        <f>IF(Database!B550="","",Database!F550)</f>
        <v/>
      </c>
      <c r="G550" s="30">
        <f>IF(Database!B550="","",Database!G550)</f>
        <v/>
      </c>
      <c r="H550" s="30">
        <f>IF(Database!B550="","",Database!C550)</f>
        <v/>
      </c>
      <c r="I550" s="30">
        <f>IF(Database!B550="","",Database!H550)</f>
        <v/>
      </c>
      <c r="J550" s="31" t="n"/>
      <c r="K550" s="88" t="n"/>
      <c r="L550" s="31" t="n"/>
      <c r="M550" s="31" t="n"/>
      <c r="N550" s="31" t="n"/>
      <c r="O550" s="32" t="n"/>
    </row>
    <row r="551">
      <c r="A551" s="30">
        <f>IF(Database!B551="","",ROW()-1)</f>
        <v/>
      </c>
      <c r="B551" s="30">
        <f>IF(Database!B551="","",Database!B551)</f>
        <v/>
      </c>
      <c r="C551" s="87">
        <f>IF(Database!B551="","",Database!A551)</f>
        <v/>
      </c>
      <c r="D551" s="30">
        <f>IF(Database!B551="","",Database!D551)</f>
        <v/>
      </c>
      <c r="E551" s="30">
        <f>IF(Database!B551="","",Database!E551)</f>
        <v/>
      </c>
      <c r="F551" s="30">
        <f>IF(Database!B551="","",Database!F551)</f>
        <v/>
      </c>
      <c r="G551" s="30">
        <f>IF(Database!B551="","",Database!G551)</f>
        <v/>
      </c>
      <c r="H551" s="30">
        <f>IF(Database!B551="","",Database!C551)</f>
        <v/>
      </c>
      <c r="I551" s="30">
        <f>IF(Database!B551="","",Database!H551)</f>
        <v/>
      </c>
      <c r="J551" s="31" t="n"/>
      <c r="K551" s="88" t="n"/>
      <c r="L551" s="31" t="n"/>
      <c r="M551" s="31" t="n"/>
      <c r="N551" s="31" t="n"/>
      <c r="O551" s="32" t="n"/>
    </row>
    <row r="552">
      <c r="A552" s="30">
        <f>IF(Database!B552="","",ROW()-1)</f>
        <v/>
      </c>
      <c r="B552" s="30">
        <f>IF(Database!B552="","",Database!B552)</f>
        <v/>
      </c>
      <c r="C552" s="87">
        <f>IF(Database!B552="","",Database!A552)</f>
        <v/>
      </c>
      <c r="D552" s="30">
        <f>IF(Database!B552="","",Database!D552)</f>
        <v/>
      </c>
      <c r="E552" s="30">
        <f>IF(Database!B552="","",Database!E552)</f>
        <v/>
      </c>
      <c r="F552" s="30">
        <f>IF(Database!B552="","",Database!F552)</f>
        <v/>
      </c>
      <c r="G552" s="30">
        <f>IF(Database!B552="","",Database!G552)</f>
        <v/>
      </c>
      <c r="H552" s="30">
        <f>IF(Database!B552="","",Database!C552)</f>
        <v/>
      </c>
      <c r="I552" s="30">
        <f>IF(Database!B552="","",Database!H552)</f>
        <v/>
      </c>
      <c r="J552" s="31" t="n"/>
      <c r="K552" s="88" t="n"/>
      <c r="L552" s="31" t="n"/>
      <c r="M552" s="31" t="n"/>
      <c r="N552" s="31" t="n"/>
      <c r="O552" s="32" t="n"/>
    </row>
    <row r="553">
      <c r="A553" s="30">
        <f>IF(Database!B553="","",ROW()-1)</f>
        <v/>
      </c>
      <c r="B553" s="30">
        <f>IF(Database!B553="","",Database!B553)</f>
        <v/>
      </c>
      <c r="C553" s="87">
        <f>IF(Database!B553="","",Database!A553)</f>
        <v/>
      </c>
      <c r="D553" s="30">
        <f>IF(Database!B553="","",Database!D553)</f>
        <v/>
      </c>
      <c r="E553" s="30">
        <f>IF(Database!B553="","",Database!E553)</f>
        <v/>
      </c>
      <c r="F553" s="30">
        <f>IF(Database!B553="","",Database!F553)</f>
        <v/>
      </c>
      <c r="G553" s="30">
        <f>IF(Database!B553="","",Database!G553)</f>
        <v/>
      </c>
      <c r="H553" s="30">
        <f>IF(Database!B553="","",Database!C553)</f>
        <v/>
      </c>
      <c r="I553" s="30">
        <f>IF(Database!B553="","",Database!H553)</f>
        <v/>
      </c>
      <c r="J553" s="31" t="n"/>
      <c r="K553" s="88" t="n"/>
      <c r="L553" s="31" t="n"/>
      <c r="M553" s="31" t="n"/>
      <c r="N553" s="31" t="n"/>
      <c r="O553" s="32" t="n"/>
    </row>
    <row r="554">
      <c r="A554" s="30">
        <f>IF(Database!B554="","",ROW()-1)</f>
        <v/>
      </c>
      <c r="B554" s="30">
        <f>IF(Database!B554="","",Database!B554)</f>
        <v/>
      </c>
      <c r="C554" s="87">
        <f>IF(Database!B554="","",Database!A554)</f>
        <v/>
      </c>
      <c r="D554" s="30">
        <f>IF(Database!B554="","",Database!D554)</f>
        <v/>
      </c>
      <c r="E554" s="30">
        <f>IF(Database!B554="","",Database!E554)</f>
        <v/>
      </c>
      <c r="F554" s="30">
        <f>IF(Database!B554="","",Database!F554)</f>
        <v/>
      </c>
      <c r="G554" s="30">
        <f>IF(Database!B554="","",Database!G554)</f>
        <v/>
      </c>
      <c r="H554" s="30">
        <f>IF(Database!B554="","",Database!C554)</f>
        <v/>
      </c>
      <c r="I554" s="30">
        <f>IF(Database!B554="","",Database!H554)</f>
        <v/>
      </c>
      <c r="J554" s="31" t="n"/>
      <c r="K554" s="88" t="n"/>
      <c r="L554" s="31" t="n"/>
      <c r="M554" s="31" t="n"/>
      <c r="N554" s="31" t="n"/>
      <c r="O554" s="32" t="n"/>
    </row>
    <row r="555">
      <c r="A555" s="30">
        <f>IF(Database!B555="","",ROW()-1)</f>
        <v/>
      </c>
      <c r="B555" s="30">
        <f>IF(Database!B555="","",Database!B555)</f>
        <v/>
      </c>
      <c r="C555" s="87">
        <f>IF(Database!B555="","",Database!A555)</f>
        <v/>
      </c>
      <c r="D555" s="30">
        <f>IF(Database!B555="","",Database!D555)</f>
        <v/>
      </c>
      <c r="E555" s="30">
        <f>IF(Database!B555="","",Database!E555)</f>
        <v/>
      </c>
      <c r="F555" s="30">
        <f>IF(Database!B555="","",Database!F555)</f>
        <v/>
      </c>
      <c r="G555" s="30">
        <f>IF(Database!B555="","",Database!G555)</f>
        <v/>
      </c>
      <c r="H555" s="30">
        <f>IF(Database!B555="","",Database!C555)</f>
        <v/>
      </c>
      <c r="I555" s="30">
        <f>IF(Database!B555="","",Database!H555)</f>
        <v/>
      </c>
      <c r="J555" s="31" t="n"/>
      <c r="K555" s="88" t="n"/>
      <c r="L555" s="31" t="n"/>
      <c r="M555" s="31" t="n"/>
      <c r="N555" s="31" t="n"/>
      <c r="O555" s="32" t="n"/>
    </row>
    <row r="556">
      <c r="A556" s="30">
        <f>IF(Database!B556="","",ROW()-1)</f>
        <v/>
      </c>
      <c r="B556" s="30">
        <f>IF(Database!B556="","",Database!B556)</f>
        <v/>
      </c>
      <c r="C556" s="87">
        <f>IF(Database!B556="","",Database!A556)</f>
        <v/>
      </c>
      <c r="D556" s="30">
        <f>IF(Database!B556="","",Database!D556)</f>
        <v/>
      </c>
      <c r="E556" s="30">
        <f>IF(Database!B556="","",Database!E556)</f>
        <v/>
      </c>
      <c r="F556" s="30">
        <f>IF(Database!B556="","",Database!F556)</f>
        <v/>
      </c>
      <c r="G556" s="30">
        <f>IF(Database!B556="","",Database!G556)</f>
        <v/>
      </c>
      <c r="H556" s="30">
        <f>IF(Database!B556="","",Database!C556)</f>
        <v/>
      </c>
      <c r="I556" s="30">
        <f>IF(Database!B556="","",Database!H556)</f>
        <v/>
      </c>
      <c r="J556" s="31" t="n"/>
      <c r="K556" s="88" t="n"/>
      <c r="L556" s="31" t="n"/>
      <c r="M556" s="31" t="n"/>
      <c r="N556" s="31" t="n"/>
      <c r="O556" s="32" t="n"/>
    </row>
    <row r="557">
      <c r="A557" s="30">
        <f>IF(Database!B557="","",ROW()-1)</f>
        <v/>
      </c>
      <c r="B557" s="30">
        <f>IF(Database!B557="","",Database!B557)</f>
        <v/>
      </c>
      <c r="C557" s="87">
        <f>IF(Database!B557="","",Database!A557)</f>
        <v/>
      </c>
      <c r="D557" s="30">
        <f>IF(Database!B557="","",Database!D557)</f>
        <v/>
      </c>
      <c r="E557" s="30">
        <f>IF(Database!B557="","",Database!E557)</f>
        <v/>
      </c>
      <c r="F557" s="30">
        <f>IF(Database!B557="","",Database!F557)</f>
        <v/>
      </c>
      <c r="G557" s="30">
        <f>IF(Database!B557="","",Database!G557)</f>
        <v/>
      </c>
      <c r="H557" s="30">
        <f>IF(Database!B557="","",Database!C557)</f>
        <v/>
      </c>
      <c r="I557" s="30">
        <f>IF(Database!B557="","",Database!H557)</f>
        <v/>
      </c>
      <c r="J557" s="31" t="n"/>
      <c r="K557" s="88" t="n"/>
      <c r="L557" s="31" t="n"/>
      <c r="M557" s="31" t="n"/>
      <c r="N557" s="31" t="n"/>
      <c r="O557" s="32" t="n"/>
    </row>
    <row r="558">
      <c r="A558" s="30">
        <f>IF(Database!B558="","",ROW()-1)</f>
        <v/>
      </c>
      <c r="B558" s="30">
        <f>IF(Database!B558="","",Database!B558)</f>
        <v/>
      </c>
      <c r="C558" s="87">
        <f>IF(Database!B558="","",Database!A558)</f>
        <v/>
      </c>
      <c r="D558" s="30">
        <f>IF(Database!B558="","",Database!D558)</f>
        <v/>
      </c>
      <c r="E558" s="30">
        <f>IF(Database!B558="","",Database!E558)</f>
        <v/>
      </c>
      <c r="F558" s="30">
        <f>IF(Database!B558="","",Database!F558)</f>
        <v/>
      </c>
      <c r="G558" s="30">
        <f>IF(Database!B558="","",Database!G558)</f>
        <v/>
      </c>
      <c r="H558" s="30">
        <f>IF(Database!B558="","",Database!C558)</f>
        <v/>
      </c>
      <c r="I558" s="30">
        <f>IF(Database!B558="","",Database!H558)</f>
        <v/>
      </c>
      <c r="J558" s="31" t="n"/>
      <c r="K558" s="88" t="n"/>
      <c r="L558" s="31" t="n"/>
      <c r="M558" s="31" t="n"/>
      <c r="N558" s="31" t="n"/>
      <c r="O558" s="32" t="n"/>
    </row>
    <row r="559">
      <c r="A559" s="30">
        <f>IF(Database!B559="","",ROW()-1)</f>
        <v/>
      </c>
      <c r="B559" s="30">
        <f>IF(Database!B559="","",Database!B559)</f>
        <v/>
      </c>
      <c r="C559" s="87">
        <f>IF(Database!B559="","",Database!A559)</f>
        <v/>
      </c>
      <c r="D559" s="30">
        <f>IF(Database!B559="","",Database!D559)</f>
        <v/>
      </c>
      <c r="E559" s="30">
        <f>IF(Database!B559="","",Database!E559)</f>
        <v/>
      </c>
      <c r="F559" s="30">
        <f>IF(Database!B559="","",Database!F559)</f>
        <v/>
      </c>
      <c r="G559" s="30">
        <f>IF(Database!B559="","",Database!G559)</f>
        <v/>
      </c>
      <c r="H559" s="30">
        <f>IF(Database!B559="","",Database!C559)</f>
        <v/>
      </c>
      <c r="I559" s="30">
        <f>IF(Database!B559="","",Database!H559)</f>
        <v/>
      </c>
      <c r="J559" s="31" t="n"/>
      <c r="K559" s="88" t="n"/>
      <c r="L559" s="31" t="n"/>
      <c r="M559" s="31" t="n"/>
      <c r="N559" s="31" t="n"/>
      <c r="O559" s="32" t="n"/>
    </row>
    <row r="560">
      <c r="A560" s="30">
        <f>IF(Database!B560="","",ROW()-1)</f>
        <v/>
      </c>
      <c r="B560" s="30">
        <f>IF(Database!B560="","",Database!B560)</f>
        <v/>
      </c>
      <c r="C560" s="87">
        <f>IF(Database!B560="","",Database!A560)</f>
        <v/>
      </c>
      <c r="D560" s="30">
        <f>IF(Database!B560="","",Database!D560)</f>
        <v/>
      </c>
      <c r="E560" s="30">
        <f>IF(Database!B560="","",Database!E560)</f>
        <v/>
      </c>
      <c r="F560" s="30">
        <f>IF(Database!B560="","",Database!F560)</f>
        <v/>
      </c>
      <c r="G560" s="30">
        <f>IF(Database!B560="","",Database!G560)</f>
        <v/>
      </c>
      <c r="H560" s="30">
        <f>IF(Database!B560="","",Database!C560)</f>
        <v/>
      </c>
      <c r="I560" s="30">
        <f>IF(Database!B560="","",Database!H560)</f>
        <v/>
      </c>
      <c r="J560" s="31" t="n"/>
      <c r="K560" s="88" t="n"/>
      <c r="L560" s="31" t="n"/>
      <c r="M560" s="31" t="n"/>
      <c r="N560" s="31" t="n"/>
      <c r="O560" s="32" t="n"/>
    </row>
    <row r="561">
      <c r="A561" s="30">
        <f>IF(Database!B561="","",ROW()-1)</f>
        <v/>
      </c>
      <c r="B561" s="30">
        <f>IF(Database!B561="","",Database!B561)</f>
        <v/>
      </c>
      <c r="C561" s="87">
        <f>IF(Database!B561="","",Database!A561)</f>
        <v/>
      </c>
      <c r="D561" s="30">
        <f>IF(Database!B561="","",Database!D561)</f>
        <v/>
      </c>
      <c r="E561" s="30">
        <f>IF(Database!B561="","",Database!E561)</f>
        <v/>
      </c>
      <c r="F561" s="30">
        <f>IF(Database!B561="","",Database!F561)</f>
        <v/>
      </c>
      <c r="G561" s="30">
        <f>IF(Database!B561="","",Database!G561)</f>
        <v/>
      </c>
      <c r="H561" s="30">
        <f>IF(Database!B561="","",Database!C561)</f>
        <v/>
      </c>
      <c r="I561" s="30">
        <f>IF(Database!B561="","",Database!H561)</f>
        <v/>
      </c>
      <c r="J561" s="31" t="n"/>
      <c r="K561" s="88" t="n"/>
      <c r="L561" s="31" t="n"/>
      <c r="M561" s="31" t="n"/>
      <c r="N561" s="31" t="n"/>
      <c r="O561" s="32" t="n"/>
    </row>
    <row r="562">
      <c r="A562" s="30">
        <f>IF(Database!B562="","",ROW()-1)</f>
        <v/>
      </c>
      <c r="B562" s="30">
        <f>IF(Database!B562="","",Database!B562)</f>
        <v/>
      </c>
      <c r="C562" s="87">
        <f>IF(Database!B562="","",Database!A562)</f>
        <v/>
      </c>
      <c r="D562" s="30">
        <f>IF(Database!B562="","",Database!D562)</f>
        <v/>
      </c>
      <c r="E562" s="30">
        <f>IF(Database!B562="","",Database!E562)</f>
        <v/>
      </c>
      <c r="F562" s="30">
        <f>IF(Database!B562="","",Database!F562)</f>
        <v/>
      </c>
      <c r="G562" s="30">
        <f>IF(Database!B562="","",Database!G562)</f>
        <v/>
      </c>
      <c r="H562" s="30">
        <f>IF(Database!B562="","",Database!C562)</f>
        <v/>
      </c>
      <c r="I562" s="30">
        <f>IF(Database!B562="","",Database!H562)</f>
        <v/>
      </c>
      <c r="J562" s="31" t="n"/>
      <c r="K562" s="88" t="n"/>
      <c r="L562" s="31" t="n"/>
      <c r="M562" s="31" t="n"/>
      <c r="N562" s="31" t="n"/>
      <c r="O562" s="32" t="n"/>
    </row>
    <row r="563">
      <c r="A563" s="30">
        <f>IF(Database!B563="","",ROW()-1)</f>
        <v/>
      </c>
      <c r="B563" s="30">
        <f>IF(Database!B563="","",Database!B563)</f>
        <v/>
      </c>
      <c r="C563" s="87">
        <f>IF(Database!B563="","",Database!A563)</f>
        <v/>
      </c>
      <c r="D563" s="30">
        <f>IF(Database!B563="","",Database!D563)</f>
        <v/>
      </c>
      <c r="E563" s="30">
        <f>IF(Database!B563="","",Database!E563)</f>
        <v/>
      </c>
      <c r="F563" s="30">
        <f>IF(Database!B563="","",Database!F563)</f>
        <v/>
      </c>
      <c r="G563" s="30">
        <f>IF(Database!B563="","",Database!G563)</f>
        <v/>
      </c>
      <c r="H563" s="30">
        <f>IF(Database!B563="","",Database!C563)</f>
        <v/>
      </c>
      <c r="I563" s="30">
        <f>IF(Database!B563="","",Database!H563)</f>
        <v/>
      </c>
      <c r="J563" s="31" t="n"/>
      <c r="K563" s="88" t="n"/>
      <c r="L563" s="31" t="n"/>
      <c r="M563" s="31" t="n"/>
      <c r="N563" s="31" t="n"/>
      <c r="O563" s="32" t="n"/>
    </row>
    <row r="564">
      <c r="A564" s="30">
        <f>IF(Database!B564="","",ROW()-1)</f>
        <v/>
      </c>
      <c r="B564" s="30">
        <f>IF(Database!B564="","",Database!B564)</f>
        <v/>
      </c>
      <c r="C564" s="87">
        <f>IF(Database!B564="","",Database!A564)</f>
        <v/>
      </c>
      <c r="D564" s="30">
        <f>IF(Database!B564="","",Database!D564)</f>
        <v/>
      </c>
      <c r="E564" s="30">
        <f>IF(Database!B564="","",Database!E564)</f>
        <v/>
      </c>
      <c r="F564" s="30">
        <f>IF(Database!B564="","",Database!F564)</f>
        <v/>
      </c>
      <c r="G564" s="30">
        <f>IF(Database!B564="","",Database!G564)</f>
        <v/>
      </c>
      <c r="H564" s="30">
        <f>IF(Database!B564="","",Database!C564)</f>
        <v/>
      </c>
      <c r="I564" s="30">
        <f>IF(Database!B564="","",Database!H564)</f>
        <v/>
      </c>
      <c r="J564" s="31" t="n"/>
      <c r="K564" s="88" t="n"/>
      <c r="L564" s="31" t="n"/>
      <c r="M564" s="31" t="n"/>
      <c r="N564" s="31" t="n"/>
      <c r="O564" s="32" t="n"/>
    </row>
    <row r="565">
      <c r="A565" s="30">
        <f>IF(Database!B565="","",ROW()-1)</f>
        <v/>
      </c>
      <c r="B565" s="30">
        <f>IF(Database!B565="","",Database!B565)</f>
        <v/>
      </c>
      <c r="C565" s="87">
        <f>IF(Database!B565="","",Database!A565)</f>
        <v/>
      </c>
      <c r="D565" s="30">
        <f>IF(Database!B565="","",Database!D565)</f>
        <v/>
      </c>
      <c r="E565" s="30">
        <f>IF(Database!B565="","",Database!E565)</f>
        <v/>
      </c>
      <c r="F565" s="30">
        <f>IF(Database!B565="","",Database!F565)</f>
        <v/>
      </c>
      <c r="G565" s="30">
        <f>IF(Database!B565="","",Database!G565)</f>
        <v/>
      </c>
      <c r="H565" s="30">
        <f>IF(Database!B565="","",Database!C565)</f>
        <v/>
      </c>
      <c r="I565" s="30">
        <f>IF(Database!B565="","",Database!H565)</f>
        <v/>
      </c>
      <c r="J565" s="31" t="n"/>
      <c r="K565" s="88" t="n"/>
      <c r="L565" s="31" t="n"/>
      <c r="M565" s="31" t="n"/>
      <c r="N565" s="31" t="n"/>
      <c r="O565" s="32" t="n"/>
    </row>
    <row r="566">
      <c r="A566" s="30">
        <f>IF(Database!B566="","",ROW()-1)</f>
        <v/>
      </c>
      <c r="B566" s="30">
        <f>IF(Database!B566="","",Database!B566)</f>
        <v/>
      </c>
      <c r="C566" s="87">
        <f>IF(Database!B566="","",Database!A566)</f>
        <v/>
      </c>
      <c r="D566" s="30">
        <f>IF(Database!B566="","",Database!D566)</f>
        <v/>
      </c>
      <c r="E566" s="30">
        <f>IF(Database!B566="","",Database!E566)</f>
        <v/>
      </c>
      <c r="F566" s="30">
        <f>IF(Database!B566="","",Database!F566)</f>
        <v/>
      </c>
      <c r="G566" s="30">
        <f>IF(Database!B566="","",Database!G566)</f>
        <v/>
      </c>
      <c r="H566" s="30">
        <f>IF(Database!B566="","",Database!C566)</f>
        <v/>
      </c>
      <c r="I566" s="30">
        <f>IF(Database!B566="","",Database!H566)</f>
        <v/>
      </c>
      <c r="J566" s="31" t="n"/>
      <c r="K566" s="88" t="n"/>
      <c r="L566" s="31" t="n"/>
      <c r="M566" s="31" t="n"/>
      <c r="N566" s="31" t="n"/>
      <c r="O566" s="32" t="n"/>
    </row>
    <row r="567">
      <c r="A567" s="30">
        <f>IF(Database!B567="","",ROW()-1)</f>
        <v/>
      </c>
      <c r="B567" s="30">
        <f>IF(Database!B567="","",Database!B567)</f>
        <v/>
      </c>
      <c r="C567" s="87">
        <f>IF(Database!B567="","",Database!A567)</f>
        <v/>
      </c>
      <c r="D567" s="30">
        <f>IF(Database!B567="","",Database!D567)</f>
        <v/>
      </c>
      <c r="E567" s="30">
        <f>IF(Database!B567="","",Database!E567)</f>
        <v/>
      </c>
      <c r="F567" s="30">
        <f>IF(Database!B567="","",Database!F567)</f>
        <v/>
      </c>
      <c r="G567" s="30">
        <f>IF(Database!B567="","",Database!G567)</f>
        <v/>
      </c>
      <c r="H567" s="30">
        <f>IF(Database!B567="","",Database!C567)</f>
        <v/>
      </c>
      <c r="I567" s="30">
        <f>IF(Database!B567="","",Database!H567)</f>
        <v/>
      </c>
      <c r="J567" s="31" t="n"/>
      <c r="K567" s="88" t="n"/>
      <c r="L567" s="31" t="n"/>
      <c r="M567" s="31" t="n"/>
      <c r="N567" s="31" t="n"/>
      <c r="O567" s="32" t="n"/>
    </row>
    <row r="568">
      <c r="A568" s="30">
        <f>IF(Database!B568="","",ROW()-1)</f>
        <v/>
      </c>
      <c r="B568" s="30">
        <f>IF(Database!B568="","",Database!B568)</f>
        <v/>
      </c>
      <c r="C568" s="87">
        <f>IF(Database!B568="","",Database!A568)</f>
        <v/>
      </c>
      <c r="D568" s="30">
        <f>IF(Database!B568="","",Database!D568)</f>
        <v/>
      </c>
      <c r="E568" s="30">
        <f>IF(Database!B568="","",Database!E568)</f>
        <v/>
      </c>
      <c r="F568" s="30">
        <f>IF(Database!B568="","",Database!F568)</f>
        <v/>
      </c>
      <c r="G568" s="30">
        <f>IF(Database!B568="","",Database!G568)</f>
        <v/>
      </c>
      <c r="H568" s="30">
        <f>IF(Database!B568="","",Database!C568)</f>
        <v/>
      </c>
      <c r="I568" s="30">
        <f>IF(Database!B568="","",Database!H568)</f>
        <v/>
      </c>
      <c r="J568" s="31" t="n"/>
      <c r="K568" s="88" t="n"/>
      <c r="L568" s="31" t="n"/>
      <c r="M568" s="31" t="n"/>
      <c r="N568" s="31" t="n"/>
      <c r="O568" s="32" t="n"/>
    </row>
    <row r="569">
      <c r="A569" s="30">
        <f>IF(Database!B569="","",ROW()-1)</f>
        <v/>
      </c>
      <c r="B569" s="30">
        <f>IF(Database!B569="","",Database!B569)</f>
        <v/>
      </c>
      <c r="C569" s="87">
        <f>IF(Database!B569="","",Database!A569)</f>
        <v/>
      </c>
      <c r="D569" s="30">
        <f>IF(Database!B569="","",Database!D569)</f>
        <v/>
      </c>
      <c r="E569" s="30">
        <f>IF(Database!B569="","",Database!E569)</f>
        <v/>
      </c>
      <c r="F569" s="30">
        <f>IF(Database!B569="","",Database!F569)</f>
        <v/>
      </c>
      <c r="G569" s="30">
        <f>IF(Database!B569="","",Database!G569)</f>
        <v/>
      </c>
      <c r="H569" s="30">
        <f>IF(Database!B569="","",Database!C569)</f>
        <v/>
      </c>
      <c r="I569" s="30">
        <f>IF(Database!B569="","",Database!H569)</f>
        <v/>
      </c>
      <c r="J569" s="31" t="n"/>
      <c r="K569" s="88" t="n"/>
      <c r="L569" s="31" t="n"/>
      <c r="M569" s="31" t="n"/>
      <c r="N569" s="31" t="n"/>
      <c r="O569" s="32" t="n"/>
    </row>
    <row r="570">
      <c r="A570" s="30">
        <f>IF(Database!B570="","",ROW()-1)</f>
        <v/>
      </c>
      <c r="B570" s="30">
        <f>IF(Database!B570="","",Database!B570)</f>
        <v/>
      </c>
      <c r="C570" s="87">
        <f>IF(Database!B570="","",Database!A570)</f>
        <v/>
      </c>
      <c r="D570" s="30">
        <f>IF(Database!B570="","",Database!D570)</f>
        <v/>
      </c>
      <c r="E570" s="30">
        <f>IF(Database!B570="","",Database!E570)</f>
        <v/>
      </c>
      <c r="F570" s="30">
        <f>IF(Database!B570="","",Database!F570)</f>
        <v/>
      </c>
      <c r="G570" s="30">
        <f>IF(Database!B570="","",Database!G570)</f>
        <v/>
      </c>
      <c r="H570" s="30">
        <f>IF(Database!B570="","",Database!C570)</f>
        <v/>
      </c>
      <c r="I570" s="30">
        <f>IF(Database!B570="","",Database!H570)</f>
        <v/>
      </c>
      <c r="J570" s="31" t="n"/>
      <c r="K570" s="88" t="n"/>
      <c r="L570" s="31" t="n"/>
      <c r="M570" s="31" t="n"/>
      <c r="N570" s="31" t="n"/>
      <c r="O570" s="32" t="n"/>
    </row>
    <row r="571">
      <c r="A571" s="30">
        <f>IF(Database!B571="","",ROW()-1)</f>
        <v/>
      </c>
      <c r="B571" s="30">
        <f>IF(Database!B571="","",Database!B571)</f>
        <v/>
      </c>
      <c r="C571" s="87">
        <f>IF(Database!B571="","",Database!A571)</f>
        <v/>
      </c>
      <c r="D571" s="30">
        <f>IF(Database!B571="","",Database!D571)</f>
        <v/>
      </c>
      <c r="E571" s="30">
        <f>IF(Database!B571="","",Database!E571)</f>
        <v/>
      </c>
      <c r="F571" s="30">
        <f>IF(Database!B571="","",Database!F571)</f>
        <v/>
      </c>
      <c r="G571" s="30">
        <f>IF(Database!B571="","",Database!G571)</f>
        <v/>
      </c>
      <c r="H571" s="30">
        <f>IF(Database!B571="","",Database!C571)</f>
        <v/>
      </c>
      <c r="I571" s="30">
        <f>IF(Database!B571="","",Database!H571)</f>
        <v/>
      </c>
      <c r="J571" s="31" t="n"/>
      <c r="K571" s="88" t="n"/>
      <c r="L571" s="31" t="n"/>
      <c r="M571" s="31" t="n"/>
      <c r="N571" s="31" t="n"/>
      <c r="O571" s="32" t="n"/>
    </row>
    <row r="572">
      <c r="A572" s="30">
        <f>IF(Database!B572="","",ROW()-1)</f>
        <v/>
      </c>
      <c r="B572" s="30">
        <f>IF(Database!B572="","",Database!B572)</f>
        <v/>
      </c>
      <c r="C572" s="87">
        <f>IF(Database!B572="","",Database!A572)</f>
        <v/>
      </c>
      <c r="D572" s="30">
        <f>IF(Database!B572="","",Database!D572)</f>
        <v/>
      </c>
      <c r="E572" s="30">
        <f>IF(Database!B572="","",Database!E572)</f>
        <v/>
      </c>
      <c r="F572" s="30">
        <f>IF(Database!B572="","",Database!F572)</f>
        <v/>
      </c>
      <c r="G572" s="30">
        <f>IF(Database!B572="","",Database!G572)</f>
        <v/>
      </c>
      <c r="H572" s="30">
        <f>IF(Database!B572="","",Database!C572)</f>
        <v/>
      </c>
      <c r="I572" s="30">
        <f>IF(Database!B572="","",Database!H572)</f>
        <v/>
      </c>
      <c r="J572" s="31" t="n"/>
      <c r="K572" s="88" t="n"/>
      <c r="L572" s="31" t="n"/>
      <c r="M572" s="31" t="n"/>
      <c r="N572" s="31" t="n"/>
      <c r="O572" s="32" t="n"/>
    </row>
    <row r="573">
      <c r="A573" s="30">
        <f>IF(Database!B573="","",ROW()-1)</f>
        <v/>
      </c>
      <c r="B573" s="30">
        <f>IF(Database!B573="","",Database!B573)</f>
        <v/>
      </c>
      <c r="C573" s="87">
        <f>IF(Database!B573="","",Database!A573)</f>
        <v/>
      </c>
      <c r="D573" s="30">
        <f>IF(Database!B573="","",Database!D573)</f>
        <v/>
      </c>
      <c r="E573" s="30">
        <f>IF(Database!B573="","",Database!E573)</f>
        <v/>
      </c>
      <c r="F573" s="30">
        <f>IF(Database!B573="","",Database!F573)</f>
        <v/>
      </c>
      <c r="G573" s="30">
        <f>IF(Database!B573="","",Database!G573)</f>
        <v/>
      </c>
      <c r="H573" s="30">
        <f>IF(Database!B573="","",Database!C573)</f>
        <v/>
      </c>
      <c r="I573" s="30">
        <f>IF(Database!B573="","",Database!H573)</f>
        <v/>
      </c>
      <c r="J573" s="31" t="n"/>
      <c r="K573" s="88" t="n"/>
      <c r="L573" s="31" t="n"/>
      <c r="M573" s="31" t="n"/>
      <c r="N573" s="31" t="n"/>
      <c r="O573" s="32" t="n"/>
    </row>
    <row r="574">
      <c r="A574" s="30">
        <f>IF(Database!B574="","",ROW()-1)</f>
        <v/>
      </c>
      <c r="B574" s="30">
        <f>IF(Database!B574="","",Database!B574)</f>
        <v/>
      </c>
      <c r="C574" s="87">
        <f>IF(Database!B574="","",Database!A574)</f>
        <v/>
      </c>
      <c r="D574" s="30">
        <f>IF(Database!B574="","",Database!D574)</f>
        <v/>
      </c>
      <c r="E574" s="30">
        <f>IF(Database!B574="","",Database!E574)</f>
        <v/>
      </c>
      <c r="F574" s="30">
        <f>IF(Database!B574="","",Database!F574)</f>
        <v/>
      </c>
      <c r="G574" s="30">
        <f>IF(Database!B574="","",Database!G574)</f>
        <v/>
      </c>
      <c r="H574" s="30">
        <f>IF(Database!B574="","",Database!C574)</f>
        <v/>
      </c>
      <c r="I574" s="30">
        <f>IF(Database!B574="","",Database!H574)</f>
        <v/>
      </c>
      <c r="J574" s="31" t="n"/>
      <c r="K574" s="88" t="n"/>
      <c r="L574" s="31" t="n"/>
      <c r="M574" s="31" t="n"/>
      <c r="N574" s="31" t="n"/>
      <c r="O574" s="32" t="n"/>
    </row>
    <row r="575">
      <c r="A575" s="30">
        <f>IF(Database!B575="","",ROW()-1)</f>
        <v/>
      </c>
      <c r="B575" s="30">
        <f>IF(Database!B575="","",Database!B575)</f>
        <v/>
      </c>
      <c r="C575" s="87">
        <f>IF(Database!B575="","",Database!A575)</f>
        <v/>
      </c>
      <c r="D575" s="30">
        <f>IF(Database!B575="","",Database!D575)</f>
        <v/>
      </c>
      <c r="E575" s="30">
        <f>IF(Database!B575="","",Database!E575)</f>
        <v/>
      </c>
      <c r="F575" s="30">
        <f>IF(Database!B575="","",Database!F575)</f>
        <v/>
      </c>
      <c r="G575" s="30">
        <f>IF(Database!B575="","",Database!G575)</f>
        <v/>
      </c>
      <c r="H575" s="30">
        <f>IF(Database!B575="","",Database!C575)</f>
        <v/>
      </c>
      <c r="I575" s="30">
        <f>IF(Database!B575="","",Database!H575)</f>
        <v/>
      </c>
      <c r="J575" s="31" t="n"/>
      <c r="K575" s="88" t="n"/>
      <c r="L575" s="31" t="n"/>
      <c r="M575" s="31" t="n"/>
      <c r="N575" s="31" t="n"/>
      <c r="O575" s="32" t="n"/>
    </row>
    <row r="576">
      <c r="A576" s="30">
        <f>IF(Database!B576="","",ROW()-1)</f>
        <v/>
      </c>
      <c r="B576" s="30">
        <f>IF(Database!B576="","",Database!B576)</f>
        <v/>
      </c>
      <c r="C576" s="87">
        <f>IF(Database!B576="","",Database!A576)</f>
        <v/>
      </c>
      <c r="D576" s="30">
        <f>IF(Database!B576="","",Database!D576)</f>
        <v/>
      </c>
      <c r="E576" s="30">
        <f>IF(Database!B576="","",Database!E576)</f>
        <v/>
      </c>
      <c r="F576" s="30">
        <f>IF(Database!B576="","",Database!F576)</f>
        <v/>
      </c>
      <c r="G576" s="30">
        <f>IF(Database!B576="","",Database!G576)</f>
        <v/>
      </c>
      <c r="H576" s="30">
        <f>IF(Database!B576="","",Database!C576)</f>
        <v/>
      </c>
      <c r="I576" s="30">
        <f>IF(Database!B576="","",Database!H576)</f>
        <v/>
      </c>
      <c r="J576" s="31" t="n"/>
      <c r="K576" s="88" t="n"/>
      <c r="L576" s="31" t="n"/>
      <c r="M576" s="31" t="n"/>
      <c r="N576" s="31" t="n"/>
      <c r="O576" s="32" t="n"/>
    </row>
    <row r="577">
      <c r="A577" s="30">
        <f>IF(Database!B577="","",ROW()-1)</f>
        <v/>
      </c>
      <c r="B577" s="30">
        <f>IF(Database!B577="","",Database!B577)</f>
        <v/>
      </c>
      <c r="C577" s="87">
        <f>IF(Database!B577="","",Database!A577)</f>
        <v/>
      </c>
      <c r="D577" s="30">
        <f>IF(Database!B577="","",Database!D577)</f>
        <v/>
      </c>
      <c r="E577" s="30">
        <f>IF(Database!B577="","",Database!E577)</f>
        <v/>
      </c>
      <c r="F577" s="30">
        <f>IF(Database!B577="","",Database!F577)</f>
        <v/>
      </c>
      <c r="G577" s="30">
        <f>IF(Database!B577="","",Database!G577)</f>
        <v/>
      </c>
      <c r="H577" s="30">
        <f>IF(Database!B577="","",Database!C577)</f>
        <v/>
      </c>
      <c r="I577" s="30">
        <f>IF(Database!B577="","",Database!H577)</f>
        <v/>
      </c>
      <c r="J577" s="31" t="n"/>
      <c r="K577" s="88" t="n"/>
      <c r="L577" s="31" t="n"/>
      <c r="M577" s="31" t="n"/>
      <c r="N577" s="31" t="n"/>
      <c r="O577" s="32" t="n"/>
    </row>
    <row r="578">
      <c r="A578" s="30">
        <f>IF(Database!B578="","",ROW()-1)</f>
        <v/>
      </c>
      <c r="B578" s="30">
        <f>IF(Database!B578="","",Database!B578)</f>
        <v/>
      </c>
      <c r="C578" s="87">
        <f>IF(Database!B578="","",Database!A578)</f>
        <v/>
      </c>
      <c r="D578" s="30">
        <f>IF(Database!B578="","",Database!D578)</f>
        <v/>
      </c>
      <c r="E578" s="30">
        <f>IF(Database!B578="","",Database!E578)</f>
        <v/>
      </c>
      <c r="F578" s="30">
        <f>IF(Database!B578="","",Database!F578)</f>
        <v/>
      </c>
      <c r="G578" s="30">
        <f>IF(Database!B578="","",Database!G578)</f>
        <v/>
      </c>
      <c r="H578" s="30">
        <f>IF(Database!B578="","",Database!C578)</f>
        <v/>
      </c>
      <c r="I578" s="30">
        <f>IF(Database!B578="","",Database!H578)</f>
        <v/>
      </c>
      <c r="J578" s="31" t="n"/>
      <c r="K578" s="88" t="n"/>
      <c r="L578" s="31" t="n"/>
      <c r="M578" s="31" t="n"/>
      <c r="N578" s="31" t="n"/>
      <c r="O578" s="32" t="n"/>
    </row>
    <row r="579">
      <c r="A579" s="30">
        <f>IF(Database!B579="","",ROW()-1)</f>
        <v/>
      </c>
      <c r="B579" s="30">
        <f>IF(Database!B579="","",Database!B579)</f>
        <v/>
      </c>
      <c r="C579" s="87">
        <f>IF(Database!B579="","",Database!A579)</f>
        <v/>
      </c>
      <c r="D579" s="30">
        <f>IF(Database!B579="","",Database!D579)</f>
        <v/>
      </c>
      <c r="E579" s="30">
        <f>IF(Database!B579="","",Database!E579)</f>
        <v/>
      </c>
      <c r="F579" s="30">
        <f>IF(Database!B579="","",Database!F579)</f>
        <v/>
      </c>
      <c r="G579" s="30">
        <f>IF(Database!B579="","",Database!G579)</f>
        <v/>
      </c>
      <c r="H579" s="30">
        <f>IF(Database!B579="","",Database!C579)</f>
        <v/>
      </c>
      <c r="I579" s="30">
        <f>IF(Database!B579="","",Database!H579)</f>
        <v/>
      </c>
      <c r="J579" s="31" t="n"/>
      <c r="K579" s="88" t="n"/>
      <c r="L579" s="31" t="n"/>
      <c r="M579" s="31" t="n"/>
      <c r="N579" s="31" t="n"/>
      <c r="O579" s="32" t="n"/>
    </row>
    <row r="580">
      <c r="A580" s="30">
        <f>IF(Database!B580="","",ROW()-1)</f>
        <v/>
      </c>
      <c r="B580" s="30">
        <f>IF(Database!B580="","",Database!B580)</f>
        <v/>
      </c>
      <c r="C580" s="87">
        <f>IF(Database!B580="","",Database!A580)</f>
        <v/>
      </c>
      <c r="D580" s="30">
        <f>IF(Database!B580="","",Database!D580)</f>
        <v/>
      </c>
      <c r="E580" s="30">
        <f>IF(Database!B580="","",Database!E580)</f>
        <v/>
      </c>
      <c r="F580" s="30">
        <f>IF(Database!B580="","",Database!F580)</f>
        <v/>
      </c>
      <c r="G580" s="30">
        <f>IF(Database!B580="","",Database!G580)</f>
        <v/>
      </c>
      <c r="H580" s="30">
        <f>IF(Database!B580="","",Database!C580)</f>
        <v/>
      </c>
      <c r="I580" s="30">
        <f>IF(Database!B580="","",Database!H580)</f>
        <v/>
      </c>
      <c r="J580" s="31" t="n"/>
      <c r="K580" s="88" t="n"/>
      <c r="L580" s="31" t="n"/>
      <c r="M580" s="31" t="n"/>
      <c r="N580" s="31" t="n"/>
      <c r="O580" s="32" t="n"/>
    </row>
    <row r="581">
      <c r="A581" s="30">
        <f>IF(Database!B581="","",ROW()-1)</f>
        <v/>
      </c>
      <c r="B581" s="30">
        <f>IF(Database!B581="","",Database!B581)</f>
        <v/>
      </c>
      <c r="C581" s="87">
        <f>IF(Database!B581="","",Database!A581)</f>
        <v/>
      </c>
      <c r="D581" s="30">
        <f>IF(Database!B581="","",Database!D581)</f>
        <v/>
      </c>
      <c r="E581" s="30">
        <f>IF(Database!B581="","",Database!E581)</f>
        <v/>
      </c>
      <c r="F581" s="30">
        <f>IF(Database!B581="","",Database!F581)</f>
        <v/>
      </c>
      <c r="G581" s="30">
        <f>IF(Database!B581="","",Database!G581)</f>
        <v/>
      </c>
      <c r="H581" s="30">
        <f>IF(Database!B581="","",Database!C581)</f>
        <v/>
      </c>
      <c r="I581" s="30">
        <f>IF(Database!B581="","",Database!H581)</f>
        <v/>
      </c>
      <c r="J581" s="31" t="n"/>
      <c r="K581" s="88" t="n"/>
      <c r="L581" s="31" t="n"/>
      <c r="M581" s="31" t="n"/>
      <c r="N581" s="31" t="n"/>
      <c r="O581" s="32" t="n"/>
    </row>
    <row r="582">
      <c r="A582" s="30">
        <f>IF(Database!B582="","",ROW()-1)</f>
        <v/>
      </c>
      <c r="B582" s="30">
        <f>IF(Database!B582="","",Database!B582)</f>
        <v/>
      </c>
      <c r="C582" s="87">
        <f>IF(Database!B582="","",Database!A582)</f>
        <v/>
      </c>
      <c r="D582" s="30">
        <f>IF(Database!B582="","",Database!D582)</f>
        <v/>
      </c>
      <c r="E582" s="30">
        <f>IF(Database!B582="","",Database!E582)</f>
        <v/>
      </c>
      <c r="F582" s="30">
        <f>IF(Database!B582="","",Database!F582)</f>
        <v/>
      </c>
      <c r="G582" s="30">
        <f>IF(Database!B582="","",Database!G582)</f>
        <v/>
      </c>
      <c r="H582" s="30">
        <f>IF(Database!B582="","",Database!C582)</f>
        <v/>
      </c>
      <c r="I582" s="30">
        <f>IF(Database!B582="","",Database!H582)</f>
        <v/>
      </c>
      <c r="J582" s="31" t="n"/>
      <c r="K582" s="88" t="n"/>
      <c r="L582" s="31" t="n"/>
      <c r="M582" s="31" t="n"/>
      <c r="N582" s="31" t="n"/>
      <c r="O582" s="32" t="n"/>
    </row>
    <row r="583">
      <c r="A583" s="30">
        <f>IF(Database!B583="","",ROW()-1)</f>
        <v/>
      </c>
      <c r="B583" s="30">
        <f>IF(Database!B583="","",Database!B583)</f>
        <v/>
      </c>
      <c r="C583" s="87">
        <f>IF(Database!B583="","",Database!A583)</f>
        <v/>
      </c>
      <c r="D583" s="30">
        <f>IF(Database!B583="","",Database!D583)</f>
        <v/>
      </c>
      <c r="E583" s="30">
        <f>IF(Database!B583="","",Database!E583)</f>
        <v/>
      </c>
      <c r="F583" s="30">
        <f>IF(Database!B583="","",Database!F583)</f>
        <v/>
      </c>
      <c r="G583" s="30">
        <f>IF(Database!B583="","",Database!G583)</f>
        <v/>
      </c>
      <c r="H583" s="30">
        <f>IF(Database!B583="","",Database!C583)</f>
        <v/>
      </c>
      <c r="I583" s="30">
        <f>IF(Database!B583="","",Database!H583)</f>
        <v/>
      </c>
      <c r="J583" s="31" t="n"/>
      <c r="K583" s="88" t="n"/>
      <c r="L583" s="31" t="n"/>
      <c r="M583" s="31" t="n"/>
      <c r="N583" s="31" t="n"/>
      <c r="O583" s="32" t="n"/>
    </row>
    <row r="584">
      <c r="A584" s="30">
        <f>IF(Database!B584="","",ROW()-1)</f>
        <v/>
      </c>
      <c r="B584" s="30">
        <f>IF(Database!B584="","",Database!B584)</f>
        <v/>
      </c>
      <c r="C584" s="87">
        <f>IF(Database!B584="","",Database!A584)</f>
        <v/>
      </c>
      <c r="D584" s="30">
        <f>IF(Database!B584="","",Database!D584)</f>
        <v/>
      </c>
      <c r="E584" s="30">
        <f>IF(Database!B584="","",Database!E584)</f>
        <v/>
      </c>
      <c r="F584" s="30">
        <f>IF(Database!B584="","",Database!F584)</f>
        <v/>
      </c>
      <c r="G584" s="30">
        <f>IF(Database!B584="","",Database!G584)</f>
        <v/>
      </c>
      <c r="H584" s="30">
        <f>IF(Database!B584="","",Database!C584)</f>
        <v/>
      </c>
      <c r="I584" s="30">
        <f>IF(Database!B584="","",Database!H584)</f>
        <v/>
      </c>
      <c r="J584" s="31" t="n"/>
      <c r="K584" s="88" t="n"/>
      <c r="L584" s="31" t="n"/>
      <c r="M584" s="31" t="n"/>
      <c r="N584" s="31" t="n"/>
      <c r="O584" s="32" t="n"/>
    </row>
    <row r="585">
      <c r="A585" s="30">
        <f>IF(Database!B585="","",ROW()-1)</f>
        <v/>
      </c>
      <c r="B585" s="30">
        <f>IF(Database!B585="","",Database!B585)</f>
        <v/>
      </c>
      <c r="C585" s="87">
        <f>IF(Database!B585="","",Database!A585)</f>
        <v/>
      </c>
      <c r="D585" s="30">
        <f>IF(Database!B585="","",Database!D585)</f>
        <v/>
      </c>
      <c r="E585" s="30">
        <f>IF(Database!B585="","",Database!E585)</f>
        <v/>
      </c>
      <c r="F585" s="30">
        <f>IF(Database!B585="","",Database!F585)</f>
        <v/>
      </c>
      <c r="G585" s="30">
        <f>IF(Database!B585="","",Database!G585)</f>
        <v/>
      </c>
      <c r="H585" s="30">
        <f>IF(Database!B585="","",Database!C585)</f>
        <v/>
      </c>
      <c r="I585" s="30">
        <f>IF(Database!B585="","",Database!H585)</f>
        <v/>
      </c>
      <c r="J585" s="31" t="n"/>
      <c r="K585" s="88" t="n"/>
      <c r="L585" s="31" t="n"/>
      <c r="M585" s="31" t="n"/>
      <c r="N585" s="31" t="n"/>
      <c r="O585" s="32" t="n"/>
    </row>
    <row r="586">
      <c r="A586" s="30">
        <f>IF(Database!B586="","",ROW()-1)</f>
        <v/>
      </c>
      <c r="B586" s="30">
        <f>IF(Database!B586="","",Database!B586)</f>
        <v/>
      </c>
      <c r="C586" s="87">
        <f>IF(Database!B586="","",Database!A586)</f>
        <v/>
      </c>
      <c r="D586" s="30">
        <f>IF(Database!B586="","",Database!D586)</f>
        <v/>
      </c>
      <c r="E586" s="30">
        <f>IF(Database!B586="","",Database!E586)</f>
        <v/>
      </c>
      <c r="F586" s="30">
        <f>IF(Database!B586="","",Database!F586)</f>
        <v/>
      </c>
      <c r="G586" s="30">
        <f>IF(Database!B586="","",Database!G586)</f>
        <v/>
      </c>
      <c r="H586" s="30">
        <f>IF(Database!B586="","",Database!C586)</f>
        <v/>
      </c>
      <c r="I586" s="30">
        <f>IF(Database!B586="","",Database!H586)</f>
        <v/>
      </c>
      <c r="J586" s="31" t="n"/>
      <c r="K586" s="88" t="n"/>
      <c r="L586" s="31" t="n"/>
      <c r="M586" s="31" t="n"/>
      <c r="N586" s="31" t="n"/>
      <c r="O586" s="32" t="n"/>
    </row>
    <row r="587">
      <c r="A587" s="30">
        <f>IF(Database!B587="","",ROW()-1)</f>
        <v/>
      </c>
      <c r="B587" s="30">
        <f>IF(Database!B587="","",Database!B587)</f>
        <v/>
      </c>
      <c r="C587" s="87">
        <f>IF(Database!B587="","",Database!A587)</f>
        <v/>
      </c>
      <c r="D587" s="30">
        <f>IF(Database!B587="","",Database!D587)</f>
        <v/>
      </c>
      <c r="E587" s="30">
        <f>IF(Database!B587="","",Database!E587)</f>
        <v/>
      </c>
      <c r="F587" s="30">
        <f>IF(Database!B587="","",Database!F587)</f>
        <v/>
      </c>
      <c r="G587" s="30">
        <f>IF(Database!B587="","",Database!G587)</f>
        <v/>
      </c>
      <c r="H587" s="30">
        <f>IF(Database!B587="","",Database!C587)</f>
        <v/>
      </c>
      <c r="I587" s="30">
        <f>IF(Database!B587="","",Database!H587)</f>
        <v/>
      </c>
      <c r="J587" s="31" t="n"/>
      <c r="K587" s="88" t="n"/>
      <c r="L587" s="31" t="n"/>
      <c r="M587" s="31" t="n"/>
      <c r="N587" s="31" t="n"/>
      <c r="O587" s="32" t="n"/>
    </row>
    <row r="588">
      <c r="A588" s="30">
        <f>IF(Database!B588="","",ROW()-1)</f>
        <v/>
      </c>
      <c r="B588" s="30">
        <f>IF(Database!B588="","",Database!B588)</f>
        <v/>
      </c>
      <c r="C588" s="87">
        <f>IF(Database!B588="","",Database!A588)</f>
        <v/>
      </c>
      <c r="D588" s="30">
        <f>IF(Database!B588="","",Database!D588)</f>
        <v/>
      </c>
      <c r="E588" s="30">
        <f>IF(Database!B588="","",Database!E588)</f>
        <v/>
      </c>
      <c r="F588" s="30">
        <f>IF(Database!B588="","",Database!F588)</f>
        <v/>
      </c>
      <c r="G588" s="30">
        <f>IF(Database!B588="","",Database!G588)</f>
        <v/>
      </c>
      <c r="H588" s="30">
        <f>IF(Database!B588="","",Database!C588)</f>
        <v/>
      </c>
      <c r="I588" s="30">
        <f>IF(Database!B588="","",Database!H588)</f>
        <v/>
      </c>
      <c r="J588" s="31" t="n"/>
      <c r="K588" s="88" t="n"/>
      <c r="L588" s="31" t="n"/>
      <c r="M588" s="31" t="n"/>
      <c r="N588" s="31" t="n"/>
      <c r="O588" s="32" t="n"/>
    </row>
    <row r="589">
      <c r="A589" s="30">
        <f>IF(Database!B589="","",ROW()-1)</f>
        <v/>
      </c>
      <c r="B589" s="30">
        <f>IF(Database!B589="","",Database!B589)</f>
        <v/>
      </c>
      <c r="C589" s="87">
        <f>IF(Database!B589="","",Database!A589)</f>
        <v/>
      </c>
      <c r="D589" s="30">
        <f>IF(Database!B589="","",Database!D589)</f>
        <v/>
      </c>
      <c r="E589" s="30">
        <f>IF(Database!B589="","",Database!E589)</f>
        <v/>
      </c>
      <c r="F589" s="30">
        <f>IF(Database!B589="","",Database!F589)</f>
        <v/>
      </c>
      <c r="G589" s="30">
        <f>IF(Database!B589="","",Database!G589)</f>
        <v/>
      </c>
      <c r="H589" s="30">
        <f>IF(Database!B589="","",Database!C589)</f>
        <v/>
      </c>
      <c r="I589" s="30">
        <f>IF(Database!B589="","",Database!H589)</f>
        <v/>
      </c>
      <c r="J589" s="31" t="n"/>
      <c r="K589" s="88" t="n"/>
      <c r="L589" s="31" t="n"/>
      <c r="M589" s="31" t="n"/>
      <c r="N589" s="31" t="n"/>
      <c r="O589" s="32" t="n"/>
    </row>
    <row r="590">
      <c r="A590" s="30">
        <f>IF(Database!B590="","",ROW()-1)</f>
        <v/>
      </c>
      <c r="B590" s="30">
        <f>IF(Database!B590="","",Database!B590)</f>
        <v/>
      </c>
      <c r="C590" s="87">
        <f>IF(Database!B590="","",Database!A590)</f>
        <v/>
      </c>
      <c r="D590" s="30">
        <f>IF(Database!B590="","",Database!D590)</f>
        <v/>
      </c>
      <c r="E590" s="30">
        <f>IF(Database!B590="","",Database!E590)</f>
        <v/>
      </c>
      <c r="F590" s="30">
        <f>IF(Database!B590="","",Database!F590)</f>
        <v/>
      </c>
      <c r="G590" s="30">
        <f>IF(Database!B590="","",Database!G590)</f>
        <v/>
      </c>
      <c r="H590" s="30">
        <f>IF(Database!B590="","",Database!C590)</f>
        <v/>
      </c>
      <c r="I590" s="30">
        <f>IF(Database!B590="","",Database!H590)</f>
        <v/>
      </c>
      <c r="J590" s="31" t="n"/>
      <c r="K590" s="88" t="n"/>
      <c r="L590" s="31" t="n"/>
      <c r="M590" s="31" t="n"/>
      <c r="N590" s="31" t="n"/>
      <c r="O590" s="32" t="n"/>
    </row>
    <row r="591">
      <c r="A591" s="30">
        <f>IF(Database!B591="","",ROW()-1)</f>
        <v/>
      </c>
      <c r="B591" s="30">
        <f>IF(Database!B591="","",Database!B591)</f>
        <v/>
      </c>
      <c r="C591" s="87">
        <f>IF(Database!B591="","",Database!A591)</f>
        <v/>
      </c>
      <c r="D591" s="30">
        <f>IF(Database!B591="","",Database!D591)</f>
        <v/>
      </c>
      <c r="E591" s="30">
        <f>IF(Database!B591="","",Database!E591)</f>
        <v/>
      </c>
      <c r="F591" s="30">
        <f>IF(Database!B591="","",Database!F591)</f>
        <v/>
      </c>
      <c r="G591" s="30">
        <f>IF(Database!B591="","",Database!G591)</f>
        <v/>
      </c>
      <c r="H591" s="30">
        <f>IF(Database!B591="","",Database!C591)</f>
        <v/>
      </c>
      <c r="I591" s="30">
        <f>IF(Database!B591="","",Database!H591)</f>
        <v/>
      </c>
      <c r="J591" s="31" t="n"/>
      <c r="K591" s="88" t="n"/>
      <c r="L591" s="31" t="n"/>
      <c r="M591" s="31" t="n"/>
      <c r="N591" s="31" t="n"/>
      <c r="O591" s="32" t="n"/>
    </row>
    <row r="592">
      <c r="A592" s="30">
        <f>IF(Database!B592="","",ROW()-1)</f>
        <v/>
      </c>
      <c r="B592" s="30">
        <f>IF(Database!B592="","",Database!B592)</f>
        <v/>
      </c>
      <c r="C592" s="87">
        <f>IF(Database!B592="","",Database!A592)</f>
        <v/>
      </c>
      <c r="D592" s="30">
        <f>IF(Database!B592="","",Database!D592)</f>
        <v/>
      </c>
      <c r="E592" s="30">
        <f>IF(Database!B592="","",Database!E592)</f>
        <v/>
      </c>
      <c r="F592" s="30">
        <f>IF(Database!B592="","",Database!F592)</f>
        <v/>
      </c>
      <c r="G592" s="30">
        <f>IF(Database!B592="","",Database!G592)</f>
        <v/>
      </c>
      <c r="H592" s="30">
        <f>IF(Database!B592="","",Database!C592)</f>
        <v/>
      </c>
      <c r="I592" s="30">
        <f>IF(Database!B592="","",Database!H592)</f>
        <v/>
      </c>
      <c r="J592" s="31" t="n"/>
      <c r="K592" s="88" t="n"/>
      <c r="L592" s="31" t="n"/>
      <c r="M592" s="31" t="n"/>
      <c r="N592" s="31" t="n"/>
      <c r="O592" s="32" t="n"/>
    </row>
    <row r="593">
      <c r="A593" s="30">
        <f>IF(Database!B593="","",ROW()-1)</f>
        <v/>
      </c>
      <c r="B593" s="30">
        <f>IF(Database!B593="","",Database!B593)</f>
        <v/>
      </c>
      <c r="C593" s="87">
        <f>IF(Database!B593="","",Database!A593)</f>
        <v/>
      </c>
      <c r="D593" s="30">
        <f>IF(Database!B593="","",Database!D593)</f>
        <v/>
      </c>
      <c r="E593" s="30">
        <f>IF(Database!B593="","",Database!E593)</f>
        <v/>
      </c>
      <c r="F593" s="30">
        <f>IF(Database!B593="","",Database!F593)</f>
        <v/>
      </c>
      <c r="G593" s="30">
        <f>IF(Database!B593="","",Database!G593)</f>
        <v/>
      </c>
      <c r="H593" s="30">
        <f>IF(Database!B593="","",Database!C593)</f>
        <v/>
      </c>
      <c r="I593" s="30">
        <f>IF(Database!B593="","",Database!H593)</f>
        <v/>
      </c>
      <c r="J593" s="31" t="n"/>
      <c r="K593" s="88" t="n"/>
      <c r="L593" s="31" t="n"/>
      <c r="M593" s="31" t="n"/>
      <c r="N593" s="31" t="n"/>
      <c r="O593" s="32" t="n"/>
    </row>
    <row r="594">
      <c r="A594" s="30">
        <f>IF(Database!B594="","",ROW()-1)</f>
        <v/>
      </c>
      <c r="B594" s="30">
        <f>IF(Database!B594="","",Database!B594)</f>
        <v/>
      </c>
      <c r="C594" s="87">
        <f>IF(Database!B594="","",Database!A594)</f>
        <v/>
      </c>
      <c r="D594" s="30">
        <f>IF(Database!B594="","",Database!D594)</f>
        <v/>
      </c>
      <c r="E594" s="30">
        <f>IF(Database!B594="","",Database!E594)</f>
        <v/>
      </c>
      <c r="F594" s="30">
        <f>IF(Database!B594="","",Database!F594)</f>
        <v/>
      </c>
      <c r="G594" s="30">
        <f>IF(Database!B594="","",Database!G594)</f>
        <v/>
      </c>
      <c r="H594" s="30">
        <f>IF(Database!B594="","",Database!C594)</f>
        <v/>
      </c>
      <c r="I594" s="30">
        <f>IF(Database!B594="","",Database!H594)</f>
        <v/>
      </c>
      <c r="J594" s="31" t="n"/>
      <c r="K594" s="88" t="n"/>
      <c r="L594" s="31" t="n"/>
      <c r="M594" s="31" t="n"/>
      <c r="N594" s="31" t="n"/>
      <c r="O594" s="32" t="n"/>
    </row>
    <row r="595">
      <c r="A595" s="30">
        <f>IF(Database!B595="","",ROW()-1)</f>
        <v/>
      </c>
      <c r="B595" s="30">
        <f>IF(Database!B595="","",Database!B595)</f>
        <v/>
      </c>
      <c r="C595" s="87">
        <f>IF(Database!B595="","",Database!A595)</f>
        <v/>
      </c>
      <c r="D595" s="30">
        <f>IF(Database!B595="","",Database!D595)</f>
        <v/>
      </c>
      <c r="E595" s="30">
        <f>IF(Database!B595="","",Database!E595)</f>
        <v/>
      </c>
      <c r="F595" s="30">
        <f>IF(Database!B595="","",Database!F595)</f>
        <v/>
      </c>
      <c r="G595" s="30">
        <f>IF(Database!B595="","",Database!G595)</f>
        <v/>
      </c>
      <c r="H595" s="30">
        <f>IF(Database!B595="","",Database!C595)</f>
        <v/>
      </c>
      <c r="I595" s="30">
        <f>IF(Database!B595="","",Database!H595)</f>
        <v/>
      </c>
      <c r="J595" s="31" t="n"/>
      <c r="K595" s="88" t="n"/>
      <c r="L595" s="31" t="n"/>
      <c r="M595" s="31" t="n"/>
      <c r="N595" s="31" t="n"/>
      <c r="O595" s="32" t="n"/>
    </row>
    <row r="596">
      <c r="A596" s="30">
        <f>IF(Database!B596="","",ROW()-1)</f>
        <v/>
      </c>
      <c r="B596" s="30">
        <f>IF(Database!B596="","",Database!B596)</f>
        <v/>
      </c>
      <c r="C596" s="87">
        <f>IF(Database!B596="","",Database!A596)</f>
        <v/>
      </c>
      <c r="D596" s="30">
        <f>IF(Database!B596="","",Database!D596)</f>
        <v/>
      </c>
      <c r="E596" s="30">
        <f>IF(Database!B596="","",Database!E596)</f>
        <v/>
      </c>
      <c r="F596" s="30">
        <f>IF(Database!B596="","",Database!F596)</f>
        <v/>
      </c>
      <c r="G596" s="30">
        <f>IF(Database!B596="","",Database!G596)</f>
        <v/>
      </c>
      <c r="H596" s="30">
        <f>IF(Database!B596="","",Database!C596)</f>
        <v/>
      </c>
      <c r="I596" s="30">
        <f>IF(Database!B596="","",Database!H596)</f>
        <v/>
      </c>
      <c r="J596" s="31" t="n"/>
      <c r="K596" s="88" t="n"/>
      <c r="L596" s="31" t="n"/>
      <c r="M596" s="31" t="n"/>
      <c r="N596" s="31" t="n"/>
      <c r="O596" s="32" t="n"/>
    </row>
    <row r="597">
      <c r="A597" s="30">
        <f>IF(Database!B597="","",ROW()-1)</f>
        <v/>
      </c>
      <c r="B597" s="30">
        <f>IF(Database!B597="","",Database!B597)</f>
        <v/>
      </c>
      <c r="C597" s="87">
        <f>IF(Database!B597="","",Database!A597)</f>
        <v/>
      </c>
      <c r="D597" s="30">
        <f>IF(Database!B597="","",Database!D597)</f>
        <v/>
      </c>
      <c r="E597" s="30">
        <f>IF(Database!B597="","",Database!E597)</f>
        <v/>
      </c>
      <c r="F597" s="30">
        <f>IF(Database!B597="","",Database!F597)</f>
        <v/>
      </c>
      <c r="G597" s="30">
        <f>IF(Database!B597="","",Database!G597)</f>
        <v/>
      </c>
      <c r="H597" s="30">
        <f>IF(Database!B597="","",Database!C597)</f>
        <v/>
      </c>
      <c r="I597" s="30">
        <f>IF(Database!B597="","",Database!H597)</f>
        <v/>
      </c>
      <c r="J597" s="31" t="n"/>
      <c r="K597" s="88" t="n"/>
      <c r="L597" s="31" t="n"/>
      <c r="M597" s="31" t="n"/>
      <c r="N597" s="31" t="n"/>
      <c r="O597" s="32" t="n"/>
    </row>
    <row r="598">
      <c r="A598" s="30">
        <f>IF(Database!B598="","",ROW()-1)</f>
        <v/>
      </c>
      <c r="B598" s="30">
        <f>IF(Database!B598="","",Database!B598)</f>
        <v/>
      </c>
      <c r="C598" s="87">
        <f>IF(Database!B598="","",Database!A598)</f>
        <v/>
      </c>
      <c r="D598" s="30">
        <f>IF(Database!B598="","",Database!D598)</f>
        <v/>
      </c>
      <c r="E598" s="30">
        <f>IF(Database!B598="","",Database!E598)</f>
        <v/>
      </c>
      <c r="F598" s="30">
        <f>IF(Database!B598="","",Database!F598)</f>
        <v/>
      </c>
      <c r="G598" s="30">
        <f>IF(Database!B598="","",Database!G598)</f>
        <v/>
      </c>
      <c r="H598" s="30">
        <f>IF(Database!B598="","",Database!C598)</f>
        <v/>
      </c>
      <c r="I598" s="30">
        <f>IF(Database!B598="","",Database!H598)</f>
        <v/>
      </c>
      <c r="J598" s="31" t="n"/>
      <c r="K598" s="88" t="n"/>
      <c r="L598" s="31" t="n"/>
      <c r="M598" s="31" t="n"/>
      <c r="N598" s="31" t="n"/>
      <c r="O598" s="32" t="n"/>
    </row>
    <row r="599">
      <c r="A599" s="30">
        <f>IF(Database!B599="","",ROW()-1)</f>
        <v/>
      </c>
      <c r="B599" s="30">
        <f>IF(Database!B599="","",Database!B599)</f>
        <v/>
      </c>
      <c r="C599" s="87">
        <f>IF(Database!B599="","",Database!A599)</f>
        <v/>
      </c>
      <c r="D599" s="30">
        <f>IF(Database!B599="","",Database!D599)</f>
        <v/>
      </c>
      <c r="E599" s="30">
        <f>IF(Database!B599="","",Database!E599)</f>
        <v/>
      </c>
      <c r="F599" s="30">
        <f>IF(Database!B599="","",Database!F599)</f>
        <v/>
      </c>
      <c r="G599" s="30">
        <f>IF(Database!B599="","",Database!G599)</f>
        <v/>
      </c>
      <c r="H599" s="30">
        <f>IF(Database!B599="","",Database!C599)</f>
        <v/>
      </c>
      <c r="I599" s="30">
        <f>IF(Database!B599="","",Database!H599)</f>
        <v/>
      </c>
      <c r="J599" s="31" t="n"/>
      <c r="K599" s="88" t="n"/>
      <c r="L599" s="31" t="n"/>
      <c r="M599" s="31" t="n"/>
      <c r="N599" s="31" t="n"/>
      <c r="O599" s="32" t="n"/>
    </row>
    <row r="600">
      <c r="A600" s="30">
        <f>IF(Database!B600="","",ROW()-1)</f>
        <v/>
      </c>
      <c r="B600" s="30">
        <f>IF(Database!B600="","",Database!B600)</f>
        <v/>
      </c>
      <c r="C600" s="87">
        <f>IF(Database!B600="","",Database!A600)</f>
        <v/>
      </c>
      <c r="D600" s="30">
        <f>IF(Database!B600="","",Database!D600)</f>
        <v/>
      </c>
      <c r="E600" s="30">
        <f>IF(Database!B600="","",Database!E600)</f>
        <v/>
      </c>
      <c r="F600" s="30">
        <f>IF(Database!B600="","",Database!F600)</f>
        <v/>
      </c>
      <c r="G600" s="30">
        <f>IF(Database!B600="","",Database!G600)</f>
        <v/>
      </c>
      <c r="H600" s="30">
        <f>IF(Database!B600="","",Database!C600)</f>
        <v/>
      </c>
      <c r="I600" s="30">
        <f>IF(Database!B600="","",Database!H600)</f>
        <v/>
      </c>
      <c r="J600" s="31" t="n"/>
      <c r="K600" s="88" t="n"/>
      <c r="L600" s="31" t="n"/>
      <c r="M600" s="31" t="n"/>
      <c r="N600" s="31" t="n"/>
      <c r="O600" s="32" t="n"/>
    </row>
    <row r="601">
      <c r="A601" s="30">
        <f>IF(Database!B601="","",ROW()-1)</f>
        <v/>
      </c>
      <c r="B601" s="30">
        <f>IF(Database!B601="","",Database!B601)</f>
        <v/>
      </c>
      <c r="C601" s="87">
        <f>IF(Database!B601="","",Database!A601)</f>
        <v/>
      </c>
      <c r="D601" s="30">
        <f>IF(Database!B601="","",Database!D601)</f>
        <v/>
      </c>
      <c r="E601" s="30">
        <f>IF(Database!B601="","",Database!E601)</f>
        <v/>
      </c>
      <c r="F601" s="30">
        <f>IF(Database!B601="","",Database!F601)</f>
        <v/>
      </c>
      <c r="G601" s="30">
        <f>IF(Database!B601="","",Database!G601)</f>
        <v/>
      </c>
      <c r="H601" s="30">
        <f>IF(Database!B601="","",Database!C601)</f>
        <v/>
      </c>
      <c r="I601" s="30">
        <f>IF(Database!B601="","",Database!H601)</f>
        <v/>
      </c>
      <c r="J601" s="31" t="n"/>
      <c r="K601" s="88" t="n"/>
      <c r="L601" s="31" t="n"/>
      <c r="M601" s="31" t="n"/>
      <c r="N601" s="31" t="n"/>
      <c r="O601" s="32" t="n"/>
    </row>
    <row r="602">
      <c r="A602" s="30">
        <f>IF(Database!B602="","",ROW()-1)</f>
        <v/>
      </c>
      <c r="B602" s="30">
        <f>IF(Database!B602="","",Database!B602)</f>
        <v/>
      </c>
      <c r="C602" s="87">
        <f>IF(Database!B602="","",Database!A602)</f>
        <v/>
      </c>
      <c r="D602" s="30">
        <f>IF(Database!B602="","",Database!D602)</f>
        <v/>
      </c>
      <c r="E602" s="30">
        <f>IF(Database!B602="","",Database!E602)</f>
        <v/>
      </c>
      <c r="F602" s="30">
        <f>IF(Database!B602="","",Database!F602)</f>
        <v/>
      </c>
      <c r="G602" s="30">
        <f>IF(Database!B602="","",Database!G602)</f>
        <v/>
      </c>
      <c r="H602" s="30">
        <f>IF(Database!B602="","",Database!C602)</f>
        <v/>
      </c>
      <c r="I602" s="30">
        <f>IF(Database!B602="","",Database!H602)</f>
        <v/>
      </c>
      <c r="J602" s="31" t="n"/>
      <c r="K602" s="88" t="n"/>
      <c r="L602" s="31" t="n"/>
      <c r="M602" s="31" t="n"/>
      <c r="N602" s="31" t="n"/>
      <c r="O602" s="32" t="n"/>
    </row>
    <row r="603">
      <c r="A603" s="30">
        <f>IF(Database!B603="","",ROW()-1)</f>
        <v/>
      </c>
      <c r="B603" s="30">
        <f>IF(Database!B603="","",Database!B603)</f>
        <v/>
      </c>
      <c r="C603" s="87">
        <f>IF(Database!B603="","",Database!A603)</f>
        <v/>
      </c>
      <c r="D603" s="30">
        <f>IF(Database!B603="","",Database!D603)</f>
        <v/>
      </c>
      <c r="E603" s="30">
        <f>IF(Database!B603="","",Database!E603)</f>
        <v/>
      </c>
      <c r="F603" s="30">
        <f>IF(Database!B603="","",Database!F603)</f>
        <v/>
      </c>
      <c r="G603" s="30">
        <f>IF(Database!B603="","",Database!G603)</f>
        <v/>
      </c>
      <c r="H603" s="30">
        <f>IF(Database!B603="","",Database!C603)</f>
        <v/>
      </c>
      <c r="I603" s="30">
        <f>IF(Database!B603="","",Database!H603)</f>
        <v/>
      </c>
      <c r="J603" s="31" t="n"/>
      <c r="K603" s="88" t="n"/>
      <c r="L603" s="31" t="n"/>
      <c r="M603" s="31" t="n"/>
      <c r="N603" s="31" t="n"/>
      <c r="O603" s="32" t="n"/>
    </row>
    <row r="604">
      <c r="A604" s="30">
        <f>IF(Database!B604="","",ROW()-1)</f>
        <v/>
      </c>
      <c r="B604" s="30">
        <f>IF(Database!B604="","",Database!B604)</f>
        <v/>
      </c>
      <c r="C604" s="87">
        <f>IF(Database!B604="","",Database!A604)</f>
        <v/>
      </c>
      <c r="D604" s="30">
        <f>IF(Database!B604="","",Database!D604)</f>
        <v/>
      </c>
      <c r="E604" s="30">
        <f>IF(Database!B604="","",Database!E604)</f>
        <v/>
      </c>
      <c r="F604" s="30">
        <f>IF(Database!B604="","",Database!F604)</f>
        <v/>
      </c>
      <c r="G604" s="30">
        <f>IF(Database!B604="","",Database!G604)</f>
        <v/>
      </c>
      <c r="H604" s="30">
        <f>IF(Database!B604="","",Database!C604)</f>
        <v/>
      </c>
      <c r="I604" s="30">
        <f>IF(Database!B604="","",Database!H604)</f>
        <v/>
      </c>
      <c r="J604" s="31" t="n"/>
      <c r="K604" s="88" t="n"/>
      <c r="L604" s="31" t="n"/>
      <c r="M604" s="31" t="n"/>
      <c r="N604" s="31" t="n"/>
      <c r="O604" s="32" t="n"/>
    </row>
    <row r="605">
      <c r="A605" s="30">
        <f>IF(Database!B605="","",ROW()-1)</f>
        <v/>
      </c>
      <c r="B605" s="30">
        <f>IF(Database!B605="","",Database!B605)</f>
        <v/>
      </c>
      <c r="C605" s="87">
        <f>IF(Database!B605="","",Database!A605)</f>
        <v/>
      </c>
      <c r="D605" s="30">
        <f>IF(Database!B605="","",Database!D605)</f>
        <v/>
      </c>
      <c r="E605" s="30">
        <f>IF(Database!B605="","",Database!E605)</f>
        <v/>
      </c>
      <c r="F605" s="30">
        <f>IF(Database!B605="","",Database!F605)</f>
        <v/>
      </c>
      <c r="G605" s="30">
        <f>IF(Database!B605="","",Database!G605)</f>
        <v/>
      </c>
      <c r="H605" s="30">
        <f>IF(Database!B605="","",Database!C605)</f>
        <v/>
      </c>
      <c r="I605" s="30">
        <f>IF(Database!B605="","",Database!H605)</f>
        <v/>
      </c>
      <c r="J605" s="31" t="n"/>
      <c r="K605" s="88" t="n"/>
      <c r="L605" s="31" t="n"/>
      <c r="M605" s="31" t="n"/>
      <c r="N605" s="31" t="n"/>
      <c r="O605" s="32" t="n"/>
    </row>
    <row r="606">
      <c r="A606" s="30">
        <f>IF(Database!B606="","",ROW()-1)</f>
        <v/>
      </c>
      <c r="B606" s="30">
        <f>IF(Database!B606="","",Database!B606)</f>
        <v/>
      </c>
      <c r="C606" s="87">
        <f>IF(Database!B606="","",Database!A606)</f>
        <v/>
      </c>
      <c r="D606" s="30">
        <f>IF(Database!B606="","",Database!D606)</f>
        <v/>
      </c>
      <c r="E606" s="30">
        <f>IF(Database!B606="","",Database!E606)</f>
        <v/>
      </c>
      <c r="F606" s="30">
        <f>IF(Database!B606="","",Database!F606)</f>
        <v/>
      </c>
      <c r="G606" s="30">
        <f>IF(Database!B606="","",Database!G606)</f>
        <v/>
      </c>
      <c r="H606" s="30">
        <f>IF(Database!B606="","",Database!C606)</f>
        <v/>
      </c>
      <c r="I606" s="30">
        <f>IF(Database!B606="","",Database!H606)</f>
        <v/>
      </c>
      <c r="J606" s="31" t="n"/>
      <c r="K606" s="88" t="n"/>
      <c r="L606" s="31" t="n"/>
      <c r="M606" s="31" t="n"/>
      <c r="N606" s="31" t="n"/>
      <c r="O606" s="32" t="n"/>
    </row>
    <row r="607">
      <c r="A607" s="30">
        <f>IF(Database!B607="","",ROW()-1)</f>
        <v/>
      </c>
      <c r="B607" s="30">
        <f>IF(Database!B607="","",Database!B607)</f>
        <v/>
      </c>
      <c r="C607" s="87">
        <f>IF(Database!B607="","",Database!A607)</f>
        <v/>
      </c>
      <c r="D607" s="30">
        <f>IF(Database!B607="","",Database!D607)</f>
        <v/>
      </c>
      <c r="E607" s="30">
        <f>IF(Database!B607="","",Database!E607)</f>
        <v/>
      </c>
      <c r="F607" s="30">
        <f>IF(Database!B607="","",Database!F607)</f>
        <v/>
      </c>
      <c r="G607" s="30">
        <f>IF(Database!B607="","",Database!G607)</f>
        <v/>
      </c>
      <c r="H607" s="30">
        <f>IF(Database!B607="","",Database!C607)</f>
        <v/>
      </c>
      <c r="I607" s="30">
        <f>IF(Database!B607="","",Database!H607)</f>
        <v/>
      </c>
      <c r="J607" s="31" t="n"/>
      <c r="K607" s="88" t="n"/>
      <c r="L607" s="31" t="n"/>
      <c r="M607" s="31" t="n"/>
      <c r="N607" s="31" t="n"/>
      <c r="O607" s="32" t="n"/>
    </row>
    <row r="608">
      <c r="A608" s="30">
        <f>IF(Database!B608="","",ROW()-1)</f>
        <v/>
      </c>
      <c r="B608" s="30">
        <f>IF(Database!B608="","",Database!B608)</f>
        <v/>
      </c>
      <c r="C608" s="87">
        <f>IF(Database!B608="","",Database!A608)</f>
        <v/>
      </c>
      <c r="D608" s="30">
        <f>IF(Database!B608="","",Database!D608)</f>
        <v/>
      </c>
      <c r="E608" s="30">
        <f>IF(Database!B608="","",Database!E608)</f>
        <v/>
      </c>
      <c r="F608" s="30">
        <f>IF(Database!B608="","",Database!F608)</f>
        <v/>
      </c>
      <c r="G608" s="30">
        <f>IF(Database!B608="","",Database!G608)</f>
        <v/>
      </c>
      <c r="H608" s="30">
        <f>IF(Database!B608="","",Database!C608)</f>
        <v/>
      </c>
      <c r="I608" s="30">
        <f>IF(Database!B608="","",Database!H608)</f>
        <v/>
      </c>
      <c r="J608" s="31" t="n"/>
      <c r="K608" s="88" t="n"/>
      <c r="L608" s="31" t="n"/>
      <c r="M608" s="31" t="n"/>
      <c r="N608" s="31" t="n"/>
      <c r="O608" s="32" t="n"/>
    </row>
    <row r="609">
      <c r="A609" s="30">
        <f>IF(Database!B609="","",ROW()-1)</f>
        <v/>
      </c>
      <c r="B609" s="30">
        <f>IF(Database!B609="","",Database!B609)</f>
        <v/>
      </c>
      <c r="C609" s="87">
        <f>IF(Database!B609="","",Database!A609)</f>
        <v/>
      </c>
      <c r="D609" s="30">
        <f>IF(Database!B609="","",Database!D609)</f>
        <v/>
      </c>
      <c r="E609" s="30">
        <f>IF(Database!B609="","",Database!E609)</f>
        <v/>
      </c>
      <c r="F609" s="30">
        <f>IF(Database!B609="","",Database!F609)</f>
        <v/>
      </c>
      <c r="G609" s="30">
        <f>IF(Database!B609="","",Database!G609)</f>
        <v/>
      </c>
      <c r="H609" s="30">
        <f>IF(Database!B609="","",Database!C609)</f>
        <v/>
      </c>
      <c r="I609" s="30">
        <f>IF(Database!B609="","",Database!H609)</f>
        <v/>
      </c>
      <c r="J609" s="31" t="n"/>
      <c r="K609" s="88" t="n"/>
      <c r="L609" s="31" t="n"/>
      <c r="M609" s="31" t="n"/>
      <c r="N609" s="31" t="n"/>
      <c r="O609" s="32" t="n"/>
    </row>
    <row r="610">
      <c r="A610" s="30">
        <f>IF(Database!B610="","",ROW()-1)</f>
        <v/>
      </c>
      <c r="B610" s="30">
        <f>IF(Database!B610="","",Database!B610)</f>
        <v/>
      </c>
      <c r="C610" s="87">
        <f>IF(Database!B610="","",Database!A610)</f>
        <v/>
      </c>
      <c r="D610" s="30">
        <f>IF(Database!B610="","",Database!D610)</f>
        <v/>
      </c>
      <c r="E610" s="30">
        <f>IF(Database!B610="","",Database!E610)</f>
        <v/>
      </c>
      <c r="F610" s="30">
        <f>IF(Database!B610="","",Database!F610)</f>
        <v/>
      </c>
      <c r="G610" s="30">
        <f>IF(Database!B610="","",Database!G610)</f>
        <v/>
      </c>
      <c r="H610" s="30">
        <f>IF(Database!B610="","",Database!C610)</f>
        <v/>
      </c>
      <c r="I610" s="30">
        <f>IF(Database!B610="","",Database!H610)</f>
        <v/>
      </c>
      <c r="J610" s="31" t="n"/>
      <c r="K610" s="88" t="n"/>
      <c r="L610" s="31" t="n"/>
      <c r="M610" s="31" t="n"/>
      <c r="N610" s="31" t="n"/>
      <c r="O610" s="32" t="n"/>
    </row>
    <row r="611">
      <c r="A611" s="30">
        <f>IF(Database!B611="","",ROW()-1)</f>
        <v/>
      </c>
      <c r="B611" s="30">
        <f>IF(Database!B611="","",Database!B611)</f>
        <v/>
      </c>
      <c r="C611" s="87">
        <f>IF(Database!B611="","",Database!A611)</f>
        <v/>
      </c>
      <c r="D611" s="30">
        <f>IF(Database!B611="","",Database!D611)</f>
        <v/>
      </c>
      <c r="E611" s="30">
        <f>IF(Database!B611="","",Database!E611)</f>
        <v/>
      </c>
      <c r="F611" s="30">
        <f>IF(Database!B611="","",Database!F611)</f>
        <v/>
      </c>
      <c r="G611" s="30">
        <f>IF(Database!B611="","",Database!G611)</f>
        <v/>
      </c>
      <c r="H611" s="30">
        <f>IF(Database!B611="","",Database!C611)</f>
        <v/>
      </c>
      <c r="I611" s="30">
        <f>IF(Database!B611="","",Database!H611)</f>
        <v/>
      </c>
      <c r="J611" s="31" t="n"/>
      <c r="K611" s="88" t="n"/>
      <c r="L611" s="31" t="n"/>
      <c r="M611" s="31" t="n"/>
      <c r="N611" s="31" t="n"/>
      <c r="O611" s="32" t="n"/>
    </row>
    <row r="612">
      <c r="A612" s="30">
        <f>IF(Database!B612="","",ROW()-1)</f>
        <v/>
      </c>
      <c r="B612" s="30">
        <f>IF(Database!B612="","",Database!B612)</f>
        <v/>
      </c>
      <c r="C612" s="87">
        <f>IF(Database!B612="","",Database!A612)</f>
        <v/>
      </c>
      <c r="D612" s="30">
        <f>IF(Database!B612="","",Database!D612)</f>
        <v/>
      </c>
      <c r="E612" s="30">
        <f>IF(Database!B612="","",Database!E612)</f>
        <v/>
      </c>
      <c r="F612" s="30">
        <f>IF(Database!B612="","",Database!F612)</f>
        <v/>
      </c>
      <c r="G612" s="30">
        <f>IF(Database!B612="","",Database!G612)</f>
        <v/>
      </c>
      <c r="H612" s="30">
        <f>IF(Database!B612="","",Database!C612)</f>
        <v/>
      </c>
      <c r="I612" s="30">
        <f>IF(Database!B612="","",Database!H612)</f>
        <v/>
      </c>
      <c r="J612" s="31" t="n"/>
      <c r="K612" s="88" t="n"/>
      <c r="L612" s="31" t="n"/>
      <c r="M612" s="31" t="n"/>
      <c r="N612" s="31" t="n"/>
      <c r="O612" s="32" t="n"/>
    </row>
    <row r="613">
      <c r="A613" s="30">
        <f>IF(Database!B613="","",ROW()-1)</f>
        <v/>
      </c>
      <c r="B613" s="30">
        <f>IF(Database!B613="","",Database!B613)</f>
        <v/>
      </c>
      <c r="C613" s="87">
        <f>IF(Database!B613="","",Database!A613)</f>
        <v/>
      </c>
      <c r="D613" s="30">
        <f>IF(Database!B613="","",Database!D613)</f>
        <v/>
      </c>
      <c r="E613" s="30">
        <f>IF(Database!B613="","",Database!E613)</f>
        <v/>
      </c>
      <c r="F613" s="30">
        <f>IF(Database!B613="","",Database!F613)</f>
        <v/>
      </c>
      <c r="G613" s="30">
        <f>IF(Database!B613="","",Database!G613)</f>
        <v/>
      </c>
      <c r="H613" s="30">
        <f>IF(Database!B613="","",Database!C613)</f>
        <v/>
      </c>
      <c r="I613" s="30">
        <f>IF(Database!B613="","",Database!H613)</f>
        <v/>
      </c>
      <c r="J613" s="31" t="n"/>
      <c r="K613" s="88" t="n"/>
      <c r="L613" s="31" t="n"/>
      <c r="M613" s="31" t="n"/>
      <c r="N613" s="31" t="n"/>
      <c r="O613" s="32" t="n"/>
    </row>
    <row r="614">
      <c r="A614" s="30">
        <f>IF(Database!B614="","",ROW()-1)</f>
        <v/>
      </c>
      <c r="B614" s="30">
        <f>IF(Database!B614="","",Database!B614)</f>
        <v/>
      </c>
      <c r="C614" s="87">
        <f>IF(Database!B614="","",Database!A614)</f>
        <v/>
      </c>
      <c r="D614" s="30">
        <f>IF(Database!B614="","",Database!D614)</f>
        <v/>
      </c>
      <c r="E614" s="30">
        <f>IF(Database!B614="","",Database!E614)</f>
        <v/>
      </c>
      <c r="F614" s="30">
        <f>IF(Database!B614="","",Database!F614)</f>
        <v/>
      </c>
      <c r="G614" s="30">
        <f>IF(Database!B614="","",Database!G614)</f>
        <v/>
      </c>
      <c r="H614" s="30">
        <f>IF(Database!B614="","",Database!C614)</f>
        <v/>
      </c>
      <c r="I614" s="30">
        <f>IF(Database!B614="","",Database!H614)</f>
        <v/>
      </c>
      <c r="J614" s="31" t="n"/>
      <c r="K614" s="88" t="n"/>
      <c r="L614" s="31" t="n"/>
      <c r="M614" s="31" t="n"/>
      <c r="N614" s="31" t="n"/>
      <c r="O614" s="32" t="n"/>
    </row>
    <row r="615">
      <c r="A615" s="30">
        <f>IF(Database!B615="","",ROW()-1)</f>
        <v/>
      </c>
      <c r="B615" s="30">
        <f>IF(Database!B615="","",Database!B615)</f>
        <v/>
      </c>
      <c r="C615" s="87">
        <f>IF(Database!B615="","",Database!A615)</f>
        <v/>
      </c>
      <c r="D615" s="30">
        <f>IF(Database!B615="","",Database!D615)</f>
        <v/>
      </c>
      <c r="E615" s="30">
        <f>IF(Database!B615="","",Database!E615)</f>
        <v/>
      </c>
      <c r="F615" s="30">
        <f>IF(Database!B615="","",Database!F615)</f>
        <v/>
      </c>
      <c r="G615" s="30">
        <f>IF(Database!B615="","",Database!G615)</f>
        <v/>
      </c>
      <c r="H615" s="30">
        <f>IF(Database!B615="","",Database!C615)</f>
        <v/>
      </c>
      <c r="I615" s="30">
        <f>IF(Database!B615="","",Database!H615)</f>
        <v/>
      </c>
      <c r="J615" s="31" t="n"/>
      <c r="K615" s="88" t="n"/>
      <c r="L615" s="31" t="n"/>
      <c r="M615" s="31" t="n"/>
      <c r="N615" s="31" t="n"/>
      <c r="O615" s="32" t="n"/>
    </row>
    <row r="616">
      <c r="A616" s="30">
        <f>IF(Database!B616="","",ROW()-1)</f>
        <v/>
      </c>
      <c r="B616" s="30">
        <f>IF(Database!B616="","",Database!B616)</f>
        <v/>
      </c>
      <c r="C616" s="87">
        <f>IF(Database!B616="","",Database!A616)</f>
        <v/>
      </c>
      <c r="D616" s="30">
        <f>IF(Database!B616="","",Database!D616)</f>
        <v/>
      </c>
      <c r="E616" s="30">
        <f>IF(Database!B616="","",Database!E616)</f>
        <v/>
      </c>
      <c r="F616" s="30">
        <f>IF(Database!B616="","",Database!F616)</f>
        <v/>
      </c>
      <c r="G616" s="30">
        <f>IF(Database!B616="","",Database!G616)</f>
        <v/>
      </c>
      <c r="H616" s="30">
        <f>IF(Database!B616="","",Database!C616)</f>
        <v/>
      </c>
      <c r="I616" s="30">
        <f>IF(Database!B616="","",Database!H616)</f>
        <v/>
      </c>
      <c r="J616" s="31" t="n"/>
      <c r="K616" s="88" t="n"/>
      <c r="L616" s="31" t="n"/>
      <c r="M616" s="31" t="n"/>
      <c r="N616" s="31" t="n"/>
      <c r="O616" s="32" t="n"/>
    </row>
    <row r="617">
      <c r="A617" s="30">
        <f>IF(Database!B617="","",ROW()-1)</f>
        <v/>
      </c>
      <c r="B617" s="30">
        <f>IF(Database!B617="","",Database!B617)</f>
        <v/>
      </c>
      <c r="C617" s="87">
        <f>IF(Database!B617="","",Database!A617)</f>
        <v/>
      </c>
      <c r="D617" s="30">
        <f>IF(Database!B617="","",Database!D617)</f>
        <v/>
      </c>
      <c r="E617" s="30">
        <f>IF(Database!B617="","",Database!E617)</f>
        <v/>
      </c>
      <c r="F617" s="30">
        <f>IF(Database!B617="","",Database!F617)</f>
        <v/>
      </c>
      <c r="G617" s="30">
        <f>IF(Database!B617="","",Database!G617)</f>
        <v/>
      </c>
      <c r="H617" s="30">
        <f>IF(Database!B617="","",Database!C617)</f>
        <v/>
      </c>
      <c r="I617" s="30">
        <f>IF(Database!B617="","",Database!H617)</f>
        <v/>
      </c>
      <c r="J617" s="31" t="n"/>
      <c r="K617" s="88" t="n"/>
      <c r="L617" s="31" t="n"/>
      <c r="M617" s="31" t="n"/>
      <c r="N617" s="31" t="n"/>
      <c r="O617" s="32" t="n"/>
    </row>
    <row r="618">
      <c r="A618" s="30">
        <f>IF(Database!B618="","",ROW()-1)</f>
        <v/>
      </c>
      <c r="B618" s="30">
        <f>IF(Database!B618="","",Database!B618)</f>
        <v/>
      </c>
      <c r="C618" s="87">
        <f>IF(Database!B618="","",Database!A618)</f>
        <v/>
      </c>
      <c r="D618" s="30">
        <f>IF(Database!B618="","",Database!D618)</f>
        <v/>
      </c>
      <c r="E618" s="30">
        <f>IF(Database!B618="","",Database!E618)</f>
        <v/>
      </c>
      <c r="F618" s="30">
        <f>IF(Database!B618="","",Database!F618)</f>
        <v/>
      </c>
      <c r="G618" s="30">
        <f>IF(Database!B618="","",Database!G618)</f>
        <v/>
      </c>
      <c r="H618" s="30">
        <f>IF(Database!B618="","",Database!C618)</f>
        <v/>
      </c>
      <c r="I618" s="30">
        <f>IF(Database!B618="","",Database!H618)</f>
        <v/>
      </c>
      <c r="J618" s="31" t="n"/>
      <c r="K618" s="88" t="n"/>
      <c r="L618" s="31" t="n"/>
      <c r="M618" s="31" t="n"/>
      <c r="N618" s="31" t="n"/>
      <c r="O618" s="32" t="n"/>
    </row>
    <row r="619">
      <c r="A619" s="30">
        <f>IF(Database!B619="","",ROW()-1)</f>
        <v/>
      </c>
      <c r="B619" s="30">
        <f>IF(Database!B619="","",Database!B619)</f>
        <v/>
      </c>
      <c r="C619" s="87">
        <f>IF(Database!B619="","",Database!A619)</f>
        <v/>
      </c>
      <c r="D619" s="30">
        <f>IF(Database!B619="","",Database!D619)</f>
        <v/>
      </c>
      <c r="E619" s="30">
        <f>IF(Database!B619="","",Database!E619)</f>
        <v/>
      </c>
      <c r="F619" s="30">
        <f>IF(Database!B619="","",Database!F619)</f>
        <v/>
      </c>
      <c r="G619" s="30">
        <f>IF(Database!B619="","",Database!G619)</f>
        <v/>
      </c>
      <c r="H619" s="30">
        <f>IF(Database!B619="","",Database!C619)</f>
        <v/>
      </c>
      <c r="I619" s="30">
        <f>IF(Database!B619="","",Database!H619)</f>
        <v/>
      </c>
      <c r="J619" s="31" t="n"/>
      <c r="K619" s="88" t="n"/>
      <c r="L619" s="31" t="n"/>
      <c r="M619" s="31" t="n"/>
      <c r="N619" s="31" t="n"/>
      <c r="O619" s="32" t="n"/>
    </row>
    <row r="620">
      <c r="A620" s="30">
        <f>IF(Database!B620="","",ROW()-1)</f>
        <v/>
      </c>
      <c r="B620" s="30">
        <f>IF(Database!B620="","",Database!B620)</f>
        <v/>
      </c>
      <c r="C620" s="87">
        <f>IF(Database!B620="","",Database!A620)</f>
        <v/>
      </c>
      <c r="D620" s="30">
        <f>IF(Database!B620="","",Database!D620)</f>
        <v/>
      </c>
      <c r="E620" s="30">
        <f>IF(Database!B620="","",Database!E620)</f>
        <v/>
      </c>
      <c r="F620" s="30">
        <f>IF(Database!B620="","",Database!F620)</f>
        <v/>
      </c>
      <c r="G620" s="30">
        <f>IF(Database!B620="","",Database!G620)</f>
        <v/>
      </c>
      <c r="H620" s="30">
        <f>IF(Database!B620="","",Database!C620)</f>
        <v/>
      </c>
      <c r="I620" s="30">
        <f>IF(Database!B620="","",Database!H620)</f>
        <v/>
      </c>
      <c r="J620" s="31" t="n"/>
      <c r="K620" s="88" t="n"/>
      <c r="L620" s="31" t="n"/>
      <c r="M620" s="31" t="n"/>
      <c r="N620" s="31" t="n"/>
      <c r="O620" s="32" t="n"/>
    </row>
    <row r="621">
      <c r="A621" s="30">
        <f>IF(Database!B621="","",ROW()-1)</f>
        <v/>
      </c>
      <c r="B621" s="30">
        <f>IF(Database!B621="","",Database!B621)</f>
        <v/>
      </c>
      <c r="C621" s="87">
        <f>IF(Database!B621="","",Database!A621)</f>
        <v/>
      </c>
      <c r="D621" s="30">
        <f>IF(Database!B621="","",Database!D621)</f>
        <v/>
      </c>
      <c r="E621" s="30">
        <f>IF(Database!B621="","",Database!E621)</f>
        <v/>
      </c>
      <c r="F621" s="30">
        <f>IF(Database!B621="","",Database!F621)</f>
        <v/>
      </c>
      <c r="G621" s="30">
        <f>IF(Database!B621="","",Database!G621)</f>
        <v/>
      </c>
      <c r="H621" s="30">
        <f>IF(Database!B621="","",Database!C621)</f>
        <v/>
      </c>
      <c r="I621" s="30">
        <f>IF(Database!B621="","",Database!H621)</f>
        <v/>
      </c>
      <c r="J621" s="31" t="n"/>
      <c r="K621" s="88" t="n"/>
      <c r="L621" s="31" t="n"/>
      <c r="M621" s="31" t="n"/>
      <c r="N621" s="31" t="n"/>
      <c r="O621" s="32" t="n"/>
    </row>
    <row r="622">
      <c r="A622" s="30">
        <f>IF(Database!B622="","",ROW()-1)</f>
        <v/>
      </c>
      <c r="B622" s="30">
        <f>IF(Database!B622="","",Database!B622)</f>
        <v/>
      </c>
      <c r="C622" s="87">
        <f>IF(Database!B622="","",Database!A622)</f>
        <v/>
      </c>
      <c r="D622" s="30">
        <f>IF(Database!B622="","",Database!D622)</f>
        <v/>
      </c>
      <c r="E622" s="30">
        <f>IF(Database!B622="","",Database!E622)</f>
        <v/>
      </c>
      <c r="F622" s="30">
        <f>IF(Database!B622="","",Database!F622)</f>
        <v/>
      </c>
      <c r="G622" s="30">
        <f>IF(Database!B622="","",Database!G622)</f>
        <v/>
      </c>
      <c r="H622" s="30">
        <f>IF(Database!B622="","",Database!C622)</f>
        <v/>
      </c>
      <c r="I622" s="30">
        <f>IF(Database!B622="","",Database!H622)</f>
        <v/>
      </c>
      <c r="J622" s="31" t="n"/>
      <c r="K622" s="88" t="n"/>
      <c r="L622" s="31" t="n"/>
      <c r="M622" s="31" t="n"/>
      <c r="N622" s="31" t="n"/>
      <c r="O622" s="32" t="n"/>
    </row>
    <row r="623">
      <c r="A623" s="30">
        <f>IF(Database!B623="","",ROW()-1)</f>
        <v/>
      </c>
      <c r="B623" s="30">
        <f>IF(Database!B623="","",Database!B623)</f>
        <v/>
      </c>
      <c r="C623" s="87">
        <f>IF(Database!B623="","",Database!A623)</f>
        <v/>
      </c>
      <c r="D623" s="30">
        <f>IF(Database!B623="","",Database!D623)</f>
        <v/>
      </c>
      <c r="E623" s="30">
        <f>IF(Database!B623="","",Database!E623)</f>
        <v/>
      </c>
      <c r="F623" s="30">
        <f>IF(Database!B623="","",Database!F623)</f>
        <v/>
      </c>
      <c r="G623" s="30">
        <f>IF(Database!B623="","",Database!G623)</f>
        <v/>
      </c>
      <c r="H623" s="30">
        <f>IF(Database!B623="","",Database!C623)</f>
        <v/>
      </c>
      <c r="I623" s="30">
        <f>IF(Database!B623="","",Database!H623)</f>
        <v/>
      </c>
      <c r="J623" s="31" t="n"/>
      <c r="K623" s="88" t="n"/>
      <c r="L623" s="31" t="n"/>
      <c r="M623" s="31" t="n"/>
      <c r="N623" s="31" t="n"/>
      <c r="O623" s="32" t="n"/>
    </row>
    <row r="624">
      <c r="A624" s="30">
        <f>IF(Database!B624="","",ROW()-1)</f>
        <v/>
      </c>
      <c r="B624" s="30">
        <f>IF(Database!B624="","",Database!B624)</f>
        <v/>
      </c>
      <c r="C624" s="87">
        <f>IF(Database!B624="","",Database!A624)</f>
        <v/>
      </c>
      <c r="D624" s="30">
        <f>IF(Database!B624="","",Database!D624)</f>
        <v/>
      </c>
      <c r="E624" s="30">
        <f>IF(Database!B624="","",Database!E624)</f>
        <v/>
      </c>
      <c r="F624" s="30">
        <f>IF(Database!B624="","",Database!F624)</f>
        <v/>
      </c>
      <c r="G624" s="30">
        <f>IF(Database!B624="","",Database!G624)</f>
        <v/>
      </c>
      <c r="H624" s="30">
        <f>IF(Database!B624="","",Database!C624)</f>
        <v/>
      </c>
      <c r="I624" s="30">
        <f>IF(Database!B624="","",Database!H624)</f>
        <v/>
      </c>
      <c r="J624" s="31" t="n"/>
      <c r="K624" s="88" t="n"/>
      <c r="L624" s="31" t="n"/>
      <c r="M624" s="31" t="n"/>
      <c r="N624" s="31" t="n"/>
      <c r="O624" s="32" t="n"/>
    </row>
    <row r="625">
      <c r="A625" s="30">
        <f>IF(Database!B625="","",ROW()-1)</f>
        <v/>
      </c>
      <c r="B625" s="30">
        <f>IF(Database!B625="","",Database!B625)</f>
        <v/>
      </c>
      <c r="C625" s="87">
        <f>IF(Database!B625="","",Database!A625)</f>
        <v/>
      </c>
      <c r="D625" s="30">
        <f>IF(Database!B625="","",Database!D625)</f>
        <v/>
      </c>
      <c r="E625" s="30">
        <f>IF(Database!B625="","",Database!E625)</f>
        <v/>
      </c>
      <c r="F625" s="30">
        <f>IF(Database!B625="","",Database!F625)</f>
        <v/>
      </c>
      <c r="G625" s="30">
        <f>IF(Database!B625="","",Database!G625)</f>
        <v/>
      </c>
      <c r="H625" s="30">
        <f>IF(Database!B625="","",Database!C625)</f>
        <v/>
      </c>
      <c r="I625" s="30">
        <f>IF(Database!B625="","",Database!H625)</f>
        <v/>
      </c>
      <c r="J625" s="31" t="n"/>
      <c r="K625" s="88" t="n"/>
      <c r="L625" s="31" t="n"/>
      <c r="M625" s="31" t="n"/>
      <c r="N625" s="31" t="n"/>
      <c r="O625" s="32" t="n"/>
    </row>
    <row r="626">
      <c r="A626" s="30">
        <f>IF(Database!B626="","",ROW()-1)</f>
        <v/>
      </c>
      <c r="B626" s="30">
        <f>IF(Database!B626="","",Database!B626)</f>
        <v/>
      </c>
      <c r="C626" s="87">
        <f>IF(Database!B626="","",Database!A626)</f>
        <v/>
      </c>
      <c r="D626" s="30">
        <f>IF(Database!B626="","",Database!D626)</f>
        <v/>
      </c>
      <c r="E626" s="30">
        <f>IF(Database!B626="","",Database!E626)</f>
        <v/>
      </c>
      <c r="F626" s="30">
        <f>IF(Database!B626="","",Database!F626)</f>
        <v/>
      </c>
      <c r="G626" s="30">
        <f>IF(Database!B626="","",Database!G626)</f>
        <v/>
      </c>
      <c r="H626" s="30">
        <f>IF(Database!B626="","",Database!C626)</f>
        <v/>
      </c>
      <c r="I626" s="30">
        <f>IF(Database!B626="","",Database!H626)</f>
        <v/>
      </c>
      <c r="J626" s="31" t="n"/>
      <c r="K626" s="88" t="n"/>
      <c r="L626" s="31" t="n"/>
      <c r="M626" s="31" t="n"/>
      <c r="N626" s="31" t="n"/>
      <c r="O626" s="32" t="n"/>
    </row>
    <row r="627">
      <c r="A627" s="30">
        <f>IF(Database!B627="","",ROW()-1)</f>
        <v/>
      </c>
      <c r="B627" s="30">
        <f>IF(Database!B627="","",Database!B627)</f>
        <v/>
      </c>
      <c r="C627" s="87">
        <f>IF(Database!B627="","",Database!A627)</f>
        <v/>
      </c>
      <c r="D627" s="30">
        <f>IF(Database!B627="","",Database!D627)</f>
        <v/>
      </c>
      <c r="E627" s="30">
        <f>IF(Database!B627="","",Database!E627)</f>
        <v/>
      </c>
      <c r="F627" s="30">
        <f>IF(Database!B627="","",Database!F627)</f>
        <v/>
      </c>
      <c r="G627" s="30">
        <f>IF(Database!B627="","",Database!G627)</f>
        <v/>
      </c>
      <c r="H627" s="30">
        <f>IF(Database!B627="","",Database!C627)</f>
        <v/>
      </c>
      <c r="I627" s="30">
        <f>IF(Database!B627="","",Database!H627)</f>
        <v/>
      </c>
      <c r="J627" s="31" t="n"/>
      <c r="K627" s="88" t="n"/>
      <c r="L627" s="31" t="n"/>
      <c r="M627" s="31" t="n"/>
      <c r="N627" s="31" t="n"/>
      <c r="O627" s="32" t="n"/>
    </row>
    <row r="628">
      <c r="A628" s="30">
        <f>IF(Database!B628="","",ROW()-1)</f>
        <v/>
      </c>
      <c r="B628" s="30">
        <f>IF(Database!B628="","",Database!B628)</f>
        <v/>
      </c>
      <c r="C628" s="87">
        <f>IF(Database!B628="","",Database!A628)</f>
        <v/>
      </c>
      <c r="D628" s="30">
        <f>IF(Database!B628="","",Database!D628)</f>
        <v/>
      </c>
      <c r="E628" s="30">
        <f>IF(Database!B628="","",Database!E628)</f>
        <v/>
      </c>
      <c r="F628" s="30">
        <f>IF(Database!B628="","",Database!F628)</f>
        <v/>
      </c>
      <c r="G628" s="30">
        <f>IF(Database!B628="","",Database!G628)</f>
        <v/>
      </c>
      <c r="H628" s="30">
        <f>IF(Database!B628="","",Database!C628)</f>
        <v/>
      </c>
      <c r="I628" s="30">
        <f>IF(Database!B628="","",Database!H628)</f>
        <v/>
      </c>
      <c r="J628" s="31" t="n"/>
      <c r="K628" s="88" t="n"/>
      <c r="L628" s="31" t="n"/>
      <c r="M628" s="31" t="n"/>
      <c r="N628" s="31" t="n"/>
      <c r="O628" s="32" t="n"/>
    </row>
    <row r="629">
      <c r="A629" s="30">
        <f>IF(Database!B629="","",ROW()-1)</f>
        <v/>
      </c>
      <c r="B629" s="30">
        <f>IF(Database!B629="","",Database!B629)</f>
        <v/>
      </c>
      <c r="C629" s="87">
        <f>IF(Database!B629="","",Database!A629)</f>
        <v/>
      </c>
      <c r="D629" s="30">
        <f>IF(Database!B629="","",Database!D629)</f>
        <v/>
      </c>
      <c r="E629" s="30">
        <f>IF(Database!B629="","",Database!E629)</f>
        <v/>
      </c>
      <c r="F629" s="30">
        <f>IF(Database!B629="","",Database!F629)</f>
        <v/>
      </c>
      <c r="G629" s="30">
        <f>IF(Database!B629="","",Database!G629)</f>
        <v/>
      </c>
      <c r="H629" s="30">
        <f>IF(Database!B629="","",Database!C629)</f>
        <v/>
      </c>
      <c r="I629" s="30">
        <f>IF(Database!B629="","",Database!H629)</f>
        <v/>
      </c>
      <c r="J629" s="31" t="n"/>
      <c r="K629" s="88" t="n"/>
      <c r="L629" s="31" t="n"/>
      <c r="M629" s="31" t="n"/>
      <c r="N629" s="31" t="n"/>
      <c r="O629" s="32" t="n"/>
    </row>
    <row r="630">
      <c r="A630" s="30">
        <f>IF(Database!B630="","",ROW()-1)</f>
        <v/>
      </c>
      <c r="B630" s="30">
        <f>IF(Database!B630="","",Database!B630)</f>
        <v/>
      </c>
      <c r="C630" s="87">
        <f>IF(Database!B630="","",Database!A630)</f>
        <v/>
      </c>
      <c r="D630" s="30">
        <f>IF(Database!B630="","",Database!D630)</f>
        <v/>
      </c>
      <c r="E630" s="30">
        <f>IF(Database!B630="","",Database!E630)</f>
        <v/>
      </c>
      <c r="F630" s="30">
        <f>IF(Database!B630="","",Database!F630)</f>
        <v/>
      </c>
      <c r="G630" s="30">
        <f>IF(Database!B630="","",Database!G630)</f>
        <v/>
      </c>
      <c r="H630" s="30">
        <f>IF(Database!B630="","",Database!C630)</f>
        <v/>
      </c>
      <c r="I630" s="30">
        <f>IF(Database!B630="","",Database!H630)</f>
        <v/>
      </c>
      <c r="J630" s="31" t="n"/>
      <c r="K630" s="88" t="n"/>
      <c r="L630" s="31" t="n"/>
      <c r="M630" s="31" t="n"/>
      <c r="N630" s="31" t="n"/>
      <c r="O630" s="32" t="n"/>
    </row>
    <row r="631">
      <c r="A631" s="30">
        <f>IF(Database!B631="","",ROW()-1)</f>
        <v/>
      </c>
      <c r="B631" s="30">
        <f>IF(Database!B631="","",Database!B631)</f>
        <v/>
      </c>
      <c r="C631" s="87">
        <f>IF(Database!B631="","",Database!A631)</f>
        <v/>
      </c>
      <c r="D631" s="30">
        <f>IF(Database!B631="","",Database!D631)</f>
        <v/>
      </c>
      <c r="E631" s="30">
        <f>IF(Database!B631="","",Database!E631)</f>
        <v/>
      </c>
      <c r="F631" s="30">
        <f>IF(Database!B631="","",Database!F631)</f>
        <v/>
      </c>
      <c r="G631" s="30">
        <f>IF(Database!B631="","",Database!G631)</f>
        <v/>
      </c>
      <c r="H631" s="30">
        <f>IF(Database!B631="","",Database!C631)</f>
        <v/>
      </c>
      <c r="I631" s="30">
        <f>IF(Database!B631="","",Database!H631)</f>
        <v/>
      </c>
      <c r="J631" s="31" t="n"/>
      <c r="K631" s="88" t="n"/>
      <c r="L631" s="31" t="n"/>
      <c r="M631" s="31" t="n"/>
      <c r="N631" s="31" t="n"/>
      <c r="O631" s="32" t="n"/>
    </row>
    <row r="632">
      <c r="A632" s="30">
        <f>IF(Database!B632="","",ROW()-1)</f>
        <v/>
      </c>
      <c r="B632" s="30">
        <f>IF(Database!B632="","",Database!B632)</f>
        <v/>
      </c>
      <c r="C632" s="87">
        <f>IF(Database!B632="","",Database!A632)</f>
        <v/>
      </c>
      <c r="D632" s="30">
        <f>IF(Database!B632="","",Database!D632)</f>
        <v/>
      </c>
      <c r="E632" s="30">
        <f>IF(Database!B632="","",Database!E632)</f>
        <v/>
      </c>
      <c r="F632" s="30">
        <f>IF(Database!B632="","",Database!F632)</f>
        <v/>
      </c>
      <c r="G632" s="30">
        <f>IF(Database!B632="","",Database!G632)</f>
        <v/>
      </c>
      <c r="H632" s="30">
        <f>IF(Database!B632="","",Database!C632)</f>
        <v/>
      </c>
      <c r="I632" s="30">
        <f>IF(Database!B632="","",Database!H632)</f>
        <v/>
      </c>
      <c r="J632" s="31" t="n"/>
      <c r="K632" s="88" t="n"/>
      <c r="L632" s="31" t="n"/>
      <c r="M632" s="31" t="n"/>
      <c r="N632" s="31" t="n"/>
      <c r="O632" s="32" t="n"/>
    </row>
    <row r="633">
      <c r="A633" s="30">
        <f>IF(Database!B633="","",ROW()-1)</f>
        <v/>
      </c>
      <c r="B633" s="30">
        <f>IF(Database!B633="","",Database!B633)</f>
        <v/>
      </c>
      <c r="C633" s="87">
        <f>IF(Database!B633="","",Database!A633)</f>
        <v/>
      </c>
      <c r="D633" s="30">
        <f>IF(Database!B633="","",Database!D633)</f>
        <v/>
      </c>
      <c r="E633" s="30">
        <f>IF(Database!B633="","",Database!E633)</f>
        <v/>
      </c>
      <c r="F633" s="30">
        <f>IF(Database!B633="","",Database!F633)</f>
        <v/>
      </c>
      <c r="G633" s="30">
        <f>IF(Database!B633="","",Database!G633)</f>
        <v/>
      </c>
      <c r="H633" s="30">
        <f>IF(Database!B633="","",Database!C633)</f>
        <v/>
      </c>
      <c r="I633" s="30">
        <f>IF(Database!B633="","",Database!H633)</f>
        <v/>
      </c>
      <c r="J633" s="31" t="n"/>
      <c r="K633" s="88" t="n"/>
      <c r="L633" s="31" t="n"/>
      <c r="M633" s="31" t="n"/>
      <c r="N633" s="31" t="n"/>
      <c r="O633" s="32" t="n"/>
    </row>
    <row r="634">
      <c r="A634" s="30">
        <f>IF(Database!B634="","",ROW()-1)</f>
        <v/>
      </c>
      <c r="B634" s="30">
        <f>IF(Database!B634="","",Database!B634)</f>
        <v/>
      </c>
      <c r="C634" s="87">
        <f>IF(Database!B634="","",Database!A634)</f>
        <v/>
      </c>
      <c r="D634" s="30">
        <f>IF(Database!B634="","",Database!D634)</f>
        <v/>
      </c>
      <c r="E634" s="30">
        <f>IF(Database!B634="","",Database!E634)</f>
        <v/>
      </c>
      <c r="F634" s="30">
        <f>IF(Database!B634="","",Database!F634)</f>
        <v/>
      </c>
      <c r="G634" s="30">
        <f>IF(Database!B634="","",Database!G634)</f>
        <v/>
      </c>
      <c r="H634" s="30">
        <f>IF(Database!B634="","",Database!C634)</f>
        <v/>
      </c>
      <c r="I634" s="30">
        <f>IF(Database!B634="","",Database!H634)</f>
        <v/>
      </c>
      <c r="J634" s="31" t="n"/>
      <c r="K634" s="88" t="n"/>
      <c r="L634" s="31" t="n"/>
      <c r="M634" s="31" t="n"/>
      <c r="N634" s="31" t="n"/>
      <c r="O634" s="32" t="n"/>
    </row>
    <row r="635">
      <c r="A635" s="30">
        <f>IF(Database!B635="","",ROW()-1)</f>
        <v/>
      </c>
      <c r="B635" s="30">
        <f>IF(Database!B635="","",Database!B635)</f>
        <v/>
      </c>
      <c r="C635" s="87">
        <f>IF(Database!B635="","",Database!A635)</f>
        <v/>
      </c>
      <c r="D635" s="30">
        <f>IF(Database!B635="","",Database!D635)</f>
        <v/>
      </c>
      <c r="E635" s="30">
        <f>IF(Database!B635="","",Database!E635)</f>
        <v/>
      </c>
      <c r="F635" s="30">
        <f>IF(Database!B635="","",Database!F635)</f>
        <v/>
      </c>
      <c r="G635" s="30">
        <f>IF(Database!B635="","",Database!G635)</f>
        <v/>
      </c>
      <c r="H635" s="30">
        <f>IF(Database!B635="","",Database!C635)</f>
        <v/>
      </c>
      <c r="I635" s="30">
        <f>IF(Database!B635="","",Database!H635)</f>
        <v/>
      </c>
      <c r="J635" s="31" t="n"/>
      <c r="K635" s="88" t="n"/>
      <c r="L635" s="31" t="n"/>
      <c r="M635" s="31" t="n"/>
      <c r="N635" s="31" t="n"/>
      <c r="O635" s="32" t="n"/>
    </row>
    <row r="636">
      <c r="A636" s="30">
        <f>IF(Database!B636="","",ROW()-1)</f>
        <v/>
      </c>
      <c r="B636" s="30">
        <f>IF(Database!B636="","",Database!B636)</f>
        <v/>
      </c>
      <c r="C636" s="87">
        <f>IF(Database!B636="","",Database!A636)</f>
        <v/>
      </c>
      <c r="D636" s="30">
        <f>IF(Database!B636="","",Database!D636)</f>
        <v/>
      </c>
      <c r="E636" s="30">
        <f>IF(Database!B636="","",Database!E636)</f>
        <v/>
      </c>
      <c r="F636" s="30">
        <f>IF(Database!B636="","",Database!F636)</f>
        <v/>
      </c>
      <c r="G636" s="30">
        <f>IF(Database!B636="","",Database!G636)</f>
        <v/>
      </c>
      <c r="H636" s="30">
        <f>IF(Database!B636="","",Database!C636)</f>
        <v/>
      </c>
      <c r="I636" s="30">
        <f>IF(Database!B636="","",Database!H636)</f>
        <v/>
      </c>
      <c r="J636" s="31" t="n"/>
      <c r="K636" s="88" t="n"/>
      <c r="L636" s="31" t="n"/>
      <c r="M636" s="31" t="n"/>
      <c r="N636" s="31" t="n"/>
      <c r="O636" s="32" t="n"/>
    </row>
    <row r="637">
      <c r="A637" s="30">
        <f>IF(Database!B637="","",ROW()-1)</f>
        <v/>
      </c>
      <c r="B637" s="30">
        <f>IF(Database!B637="","",Database!B637)</f>
        <v/>
      </c>
      <c r="C637" s="87">
        <f>IF(Database!B637="","",Database!A637)</f>
        <v/>
      </c>
      <c r="D637" s="30">
        <f>IF(Database!B637="","",Database!D637)</f>
        <v/>
      </c>
      <c r="E637" s="30">
        <f>IF(Database!B637="","",Database!E637)</f>
        <v/>
      </c>
      <c r="F637" s="30">
        <f>IF(Database!B637="","",Database!F637)</f>
        <v/>
      </c>
      <c r="G637" s="30">
        <f>IF(Database!B637="","",Database!G637)</f>
        <v/>
      </c>
      <c r="H637" s="30">
        <f>IF(Database!B637="","",Database!C637)</f>
        <v/>
      </c>
      <c r="I637" s="30">
        <f>IF(Database!B637="","",Database!H637)</f>
        <v/>
      </c>
      <c r="J637" s="31" t="n"/>
      <c r="K637" s="88" t="n"/>
      <c r="L637" s="31" t="n"/>
      <c r="M637" s="31" t="n"/>
      <c r="N637" s="31" t="n"/>
      <c r="O637" s="32" t="n"/>
    </row>
    <row r="638">
      <c r="A638" s="30">
        <f>IF(Database!B638="","",ROW()-1)</f>
        <v/>
      </c>
      <c r="B638" s="30">
        <f>IF(Database!B638="","",Database!B638)</f>
        <v/>
      </c>
      <c r="C638" s="87">
        <f>IF(Database!B638="","",Database!A638)</f>
        <v/>
      </c>
      <c r="D638" s="30">
        <f>IF(Database!B638="","",Database!D638)</f>
        <v/>
      </c>
      <c r="E638" s="30">
        <f>IF(Database!B638="","",Database!E638)</f>
        <v/>
      </c>
      <c r="F638" s="30">
        <f>IF(Database!B638="","",Database!F638)</f>
        <v/>
      </c>
      <c r="G638" s="30">
        <f>IF(Database!B638="","",Database!G638)</f>
        <v/>
      </c>
      <c r="H638" s="30">
        <f>IF(Database!B638="","",Database!C638)</f>
        <v/>
      </c>
      <c r="I638" s="30">
        <f>IF(Database!B638="","",Database!H638)</f>
        <v/>
      </c>
      <c r="J638" s="31" t="n"/>
      <c r="K638" s="88" t="n"/>
      <c r="L638" s="31" t="n"/>
      <c r="M638" s="31" t="n"/>
      <c r="N638" s="31" t="n"/>
      <c r="O638" s="32" t="n"/>
    </row>
    <row r="639">
      <c r="A639" s="30">
        <f>IF(Database!B639="","",ROW()-1)</f>
        <v/>
      </c>
      <c r="B639" s="30">
        <f>IF(Database!B639="","",Database!B639)</f>
        <v/>
      </c>
      <c r="C639" s="87">
        <f>IF(Database!B639="","",Database!A639)</f>
        <v/>
      </c>
      <c r="D639" s="30">
        <f>IF(Database!B639="","",Database!D639)</f>
        <v/>
      </c>
      <c r="E639" s="30">
        <f>IF(Database!B639="","",Database!E639)</f>
        <v/>
      </c>
      <c r="F639" s="30">
        <f>IF(Database!B639="","",Database!F639)</f>
        <v/>
      </c>
      <c r="G639" s="30">
        <f>IF(Database!B639="","",Database!G639)</f>
        <v/>
      </c>
      <c r="H639" s="30">
        <f>IF(Database!B639="","",Database!C639)</f>
        <v/>
      </c>
      <c r="I639" s="30">
        <f>IF(Database!B639="","",Database!H639)</f>
        <v/>
      </c>
      <c r="J639" s="31" t="n"/>
      <c r="K639" s="88" t="n"/>
      <c r="L639" s="31" t="n"/>
      <c r="M639" s="31" t="n"/>
      <c r="N639" s="31" t="n"/>
      <c r="O639" s="32" t="n"/>
    </row>
    <row r="640">
      <c r="A640" s="30">
        <f>IF(Database!B640="","",ROW()-1)</f>
        <v/>
      </c>
      <c r="B640" s="30">
        <f>IF(Database!B640="","",Database!B640)</f>
        <v/>
      </c>
      <c r="C640" s="87">
        <f>IF(Database!B640="","",Database!A640)</f>
        <v/>
      </c>
      <c r="D640" s="30">
        <f>IF(Database!B640="","",Database!D640)</f>
        <v/>
      </c>
      <c r="E640" s="30">
        <f>IF(Database!B640="","",Database!E640)</f>
        <v/>
      </c>
      <c r="F640" s="30">
        <f>IF(Database!B640="","",Database!F640)</f>
        <v/>
      </c>
      <c r="G640" s="30">
        <f>IF(Database!B640="","",Database!G640)</f>
        <v/>
      </c>
      <c r="H640" s="30">
        <f>IF(Database!B640="","",Database!C640)</f>
        <v/>
      </c>
      <c r="I640" s="30">
        <f>IF(Database!B640="","",Database!H640)</f>
        <v/>
      </c>
      <c r="J640" s="31" t="n"/>
      <c r="K640" s="88" t="n"/>
      <c r="L640" s="31" t="n"/>
      <c r="M640" s="31" t="n"/>
      <c r="N640" s="31" t="n"/>
      <c r="O640" s="32" t="n"/>
    </row>
    <row r="641">
      <c r="A641" s="30">
        <f>IF(Database!B641="","",ROW()-1)</f>
        <v/>
      </c>
      <c r="B641" s="30">
        <f>IF(Database!B641="","",Database!B641)</f>
        <v/>
      </c>
      <c r="C641" s="87">
        <f>IF(Database!B641="","",Database!A641)</f>
        <v/>
      </c>
      <c r="D641" s="30">
        <f>IF(Database!B641="","",Database!D641)</f>
        <v/>
      </c>
      <c r="E641" s="30">
        <f>IF(Database!B641="","",Database!E641)</f>
        <v/>
      </c>
      <c r="F641" s="30">
        <f>IF(Database!B641="","",Database!F641)</f>
        <v/>
      </c>
      <c r="G641" s="30">
        <f>IF(Database!B641="","",Database!G641)</f>
        <v/>
      </c>
      <c r="H641" s="30">
        <f>IF(Database!B641="","",Database!C641)</f>
        <v/>
      </c>
      <c r="I641" s="30">
        <f>IF(Database!B641="","",Database!H641)</f>
        <v/>
      </c>
      <c r="J641" s="31" t="n"/>
      <c r="K641" s="88" t="n"/>
      <c r="L641" s="31" t="n"/>
      <c r="M641" s="31" t="n"/>
      <c r="N641" s="31" t="n"/>
      <c r="O641" s="32" t="n"/>
    </row>
    <row r="642">
      <c r="A642" s="30">
        <f>IF(Database!B642="","",ROW()-1)</f>
        <v/>
      </c>
      <c r="B642" s="30">
        <f>IF(Database!B642="","",Database!B642)</f>
        <v/>
      </c>
      <c r="C642" s="87">
        <f>IF(Database!B642="","",Database!A642)</f>
        <v/>
      </c>
      <c r="D642" s="30">
        <f>IF(Database!B642="","",Database!D642)</f>
        <v/>
      </c>
      <c r="E642" s="30">
        <f>IF(Database!B642="","",Database!E642)</f>
        <v/>
      </c>
      <c r="F642" s="30">
        <f>IF(Database!B642="","",Database!F642)</f>
        <v/>
      </c>
      <c r="G642" s="30">
        <f>IF(Database!B642="","",Database!G642)</f>
        <v/>
      </c>
      <c r="H642" s="30">
        <f>IF(Database!B642="","",Database!C642)</f>
        <v/>
      </c>
      <c r="I642" s="30">
        <f>IF(Database!B642="","",Database!H642)</f>
        <v/>
      </c>
      <c r="J642" s="31" t="n"/>
      <c r="K642" s="88" t="n"/>
      <c r="L642" s="31" t="n"/>
      <c r="M642" s="31" t="n"/>
      <c r="N642" s="31" t="n"/>
      <c r="O642" s="32" t="n"/>
    </row>
    <row r="643">
      <c r="A643" s="30">
        <f>IF(Database!B643="","",ROW()-1)</f>
        <v/>
      </c>
      <c r="B643" s="30">
        <f>IF(Database!B643="","",Database!B643)</f>
        <v/>
      </c>
      <c r="C643" s="87">
        <f>IF(Database!B643="","",Database!A643)</f>
        <v/>
      </c>
      <c r="D643" s="30">
        <f>IF(Database!B643="","",Database!D643)</f>
        <v/>
      </c>
      <c r="E643" s="30">
        <f>IF(Database!B643="","",Database!E643)</f>
        <v/>
      </c>
      <c r="F643" s="30">
        <f>IF(Database!B643="","",Database!F643)</f>
        <v/>
      </c>
      <c r="G643" s="30">
        <f>IF(Database!B643="","",Database!G643)</f>
        <v/>
      </c>
      <c r="H643" s="30">
        <f>IF(Database!B643="","",Database!C643)</f>
        <v/>
      </c>
      <c r="I643" s="30">
        <f>IF(Database!B643="","",Database!H643)</f>
        <v/>
      </c>
      <c r="J643" s="31" t="n"/>
      <c r="K643" s="88" t="n"/>
      <c r="L643" s="31" t="n"/>
      <c r="M643" s="31" t="n"/>
      <c r="N643" s="31" t="n"/>
      <c r="O643" s="32" t="n"/>
    </row>
    <row r="644">
      <c r="A644" s="30">
        <f>IF(Database!B644="","",ROW()-1)</f>
        <v/>
      </c>
      <c r="B644" s="30">
        <f>IF(Database!B644="","",Database!B644)</f>
        <v/>
      </c>
      <c r="C644" s="87">
        <f>IF(Database!B644="","",Database!A644)</f>
        <v/>
      </c>
      <c r="D644" s="30">
        <f>IF(Database!B644="","",Database!D644)</f>
        <v/>
      </c>
      <c r="E644" s="30">
        <f>IF(Database!B644="","",Database!E644)</f>
        <v/>
      </c>
      <c r="F644" s="30">
        <f>IF(Database!B644="","",Database!F644)</f>
        <v/>
      </c>
      <c r="G644" s="30">
        <f>IF(Database!B644="","",Database!G644)</f>
        <v/>
      </c>
      <c r="H644" s="30">
        <f>IF(Database!B644="","",Database!C644)</f>
        <v/>
      </c>
      <c r="I644" s="30">
        <f>IF(Database!B644="","",Database!H644)</f>
        <v/>
      </c>
      <c r="J644" s="31" t="n"/>
      <c r="K644" s="88" t="n"/>
      <c r="L644" s="31" t="n"/>
      <c r="M644" s="31" t="n"/>
      <c r="N644" s="31" t="n"/>
      <c r="O644" s="32" t="n"/>
    </row>
    <row r="645">
      <c r="A645" s="30">
        <f>IF(Database!B645="","",ROW()-1)</f>
        <v/>
      </c>
      <c r="B645" s="30">
        <f>IF(Database!B645="","",Database!B645)</f>
        <v/>
      </c>
      <c r="C645" s="87">
        <f>IF(Database!B645="","",Database!A645)</f>
        <v/>
      </c>
      <c r="D645" s="30">
        <f>IF(Database!B645="","",Database!D645)</f>
        <v/>
      </c>
      <c r="E645" s="30">
        <f>IF(Database!B645="","",Database!E645)</f>
        <v/>
      </c>
      <c r="F645" s="30">
        <f>IF(Database!B645="","",Database!F645)</f>
        <v/>
      </c>
      <c r="G645" s="30">
        <f>IF(Database!B645="","",Database!G645)</f>
        <v/>
      </c>
      <c r="H645" s="30">
        <f>IF(Database!B645="","",Database!C645)</f>
        <v/>
      </c>
      <c r="I645" s="30">
        <f>IF(Database!B645="","",Database!H645)</f>
        <v/>
      </c>
      <c r="J645" s="31" t="n"/>
      <c r="K645" s="88" t="n"/>
      <c r="L645" s="31" t="n"/>
      <c r="M645" s="31" t="n"/>
      <c r="N645" s="31" t="n"/>
      <c r="O645" s="32" t="n"/>
    </row>
    <row r="646">
      <c r="A646" s="30">
        <f>IF(Database!B646="","",ROW()-1)</f>
        <v/>
      </c>
      <c r="B646" s="30">
        <f>IF(Database!B646="","",Database!B646)</f>
        <v/>
      </c>
      <c r="C646" s="87">
        <f>IF(Database!B646="","",Database!A646)</f>
        <v/>
      </c>
      <c r="D646" s="30">
        <f>IF(Database!B646="","",Database!D646)</f>
        <v/>
      </c>
      <c r="E646" s="30">
        <f>IF(Database!B646="","",Database!E646)</f>
        <v/>
      </c>
      <c r="F646" s="30">
        <f>IF(Database!B646="","",Database!F646)</f>
        <v/>
      </c>
      <c r="G646" s="30">
        <f>IF(Database!B646="","",Database!G646)</f>
        <v/>
      </c>
      <c r="H646" s="30">
        <f>IF(Database!B646="","",Database!C646)</f>
        <v/>
      </c>
      <c r="I646" s="30">
        <f>IF(Database!B646="","",Database!H646)</f>
        <v/>
      </c>
      <c r="J646" s="31" t="n"/>
      <c r="K646" s="88" t="n"/>
      <c r="L646" s="31" t="n"/>
      <c r="M646" s="31" t="n"/>
      <c r="N646" s="31" t="n"/>
      <c r="O646" s="32" t="n"/>
    </row>
    <row r="647">
      <c r="A647" s="30">
        <f>IF(Database!B647="","",ROW()-1)</f>
        <v/>
      </c>
      <c r="B647" s="30">
        <f>IF(Database!B647="","",Database!B647)</f>
        <v/>
      </c>
      <c r="C647" s="87">
        <f>IF(Database!B647="","",Database!A647)</f>
        <v/>
      </c>
      <c r="D647" s="30">
        <f>IF(Database!B647="","",Database!D647)</f>
        <v/>
      </c>
      <c r="E647" s="30">
        <f>IF(Database!B647="","",Database!E647)</f>
        <v/>
      </c>
      <c r="F647" s="30">
        <f>IF(Database!B647="","",Database!F647)</f>
        <v/>
      </c>
      <c r="G647" s="30">
        <f>IF(Database!B647="","",Database!G647)</f>
        <v/>
      </c>
      <c r="H647" s="30">
        <f>IF(Database!B647="","",Database!C647)</f>
        <v/>
      </c>
      <c r="I647" s="30">
        <f>IF(Database!B647="","",Database!H647)</f>
        <v/>
      </c>
      <c r="J647" s="31" t="n"/>
      <c r="K647" s="88" t="n"/>
      <c r="L647" s="31" t="n"/>
      <c r="M647" s="31" t="n"/>
      <c r="N647" s="31" t="n"/>
      <c r="O647" s="32" t="n"/>
    </row>
    <row r="648">
      <c r="A648" s="30">
        <f>IF(Database!B648="","",ROW()-1)</f>
        <v/>
      </c>
      <c r="B648" s="30">
        <f>IF(Database!B648="","",Database!B648)</f>
        <v/>
      </c>
      <c r="C648" s="87">
        <f>IF(Database!B648="","",Database!A648)</f>
        <v/>
      </c>
      <c r="D648" s="30">
        <f>IF(Database!B648="","",Database!D648)</f>
        <v/>
      </c>
      <c r="E648" s="30">
        <f>IF(Database!B648="","",Database!E648)</f>
        <v/>
      </c>
      <c r="F648" s="30">
        <f>IF(Database!B648="","",Database!F648)</f>
        <v/>
      </c>
      <c r="G648" s="30">
        <f>IF(Database!B648="","",Database!G648)</f>
        <v/>
      </c>
      <c r="H648" s="30">
        <f>IF(Database!B648="","",Database!C648)</f>
        <v/>
      </c>
      <c r="I648" s="30">
        <f>IF(Database!B648="","",Database!H648)</f>
        <v/>
      </c>
      <c r="J648" s="31" t="n"/>
      <c r="K648" s="88" t="n"/>
      <c r="L648" s="31" t="n"/>
      <c r="M648" s="31" t="n"/>
      <c r="N648" s="31" t="n"/>
      <c r="O648" s="32" t="n"/>
    </row>
    <row r="649">
      <c r="A649" s="30">
        <f>IF(Database!B649="","",ROW()-1)</f>
        <v/>
      </c>
      <c r="B649" s="30">
        <f>IF(Database!B649="","",Database!B649)</f>
        <v/>
      </c>
      <c r="C649" s="87">
        <f>IF(Database!B649="","",Database!A649)</f>
        <v/>
      </c>
      <c r="D649" s="30">
        <f>IF(Database!B649="","",Database!D649)</f>
        <v/>
      </c>
      <c r="E649" s="30">
        <f>IF(Database!B649="","",Database!E649)</f>
        <v/>
      </c>
      <c r="F649" s="30">
        <f>IF(Database!B649="","",Database!F649)</f>
        <v/>
      </c>
      <c r="G649" s="30">
        <f>IF(Database!B649="","",Database!G649)</f>
        <v/>
      </c>
      <c r="H649" s="30">
        <f>IF(Database!B649="","",Database!C649)</f>
        <v/>
      </c>
      <c r="I649" s="30">
        <f>IF(Database!B649="","",Database!H649)</f>
        <v/>
      </c>
      <c r="J649" s="31" t="n"/>
      <c r="K649" s="88" t="n"/>
      <c r="L649" s="31" t="n"/>
      <c r="M649" s="31" t="n"/>
      <c r="N649" s="31" t="n"/>
      <c r="O649" s="32" t="n"/>
    </row>
    <row r="650">
      <c r="A650" s="30">
        <f>IF(Database!B650="","",ROW()-1)</f>
        <v/>
      </c>
      <c r="B650" s="30">
        <f>IF(Database!B650="","",Database!B650)</f>
        <v/>
      </c>
      <c r="C650" s="87">
        <f>IF(Database!B650="","",Database!A650)</f>
        <v/>
      </c>
      <c r="D650" s="30">
        <f>IF(Database!B650="","",Database!D650)</f>
        <v/>
      </c>
      <c r="E650" s="30">
        <f>IF(Database!B650="","",Database!E650)</f>
        <v/>
      </c>
      <c r="F650" s="30">
        <f>IF(Database!B650="","",Database!F650)</f>
        <v/>
      </c>
      <c r="G650" s="30">
        <f>IF(Database!B650="","",Database!G650)</f>
        <v/>
      </c>
      <c r="H650" s="30">
        <f>IF(Database!B650="","",Database!C650)</f>
        <v/>
      </c>
      <c r="I650" s="30">
        <f>IF(Database!B650="","",Database!H650)</f>
        <v/>
      </c>
      <c r="J650" s="31" t="n"/>
      <c r="K650" s="88" t="n"/>
      <c r="L650" s="31" t="n"/>
      <c r="M650" s="31" t="n"/>
      <c r="N650" s="31" t="n"/>
      <c r="O650" s="32" t="n"/>
    </row>
    <row r="651">
      <c r="A651" s="30">
        <f>IF(Database!B651="","",ROW()-1)</f>
        <v/>
      </c>
      <c r="B651" s="30">
        <f>IF(Database!B651="","",Database!B651)</f>
        <v/>
      </c>
      <c r="C651" s="87">
        <f>IF(Database!B651="","",Database!A651)</f>
        <v/>
      </c>
      <c r="D651" s="30">
        <f>IF(Database!B651="","",Database!D651)</f>
        <v/>
      </c>
      <c r="E651" s="30">
        <f>IF(Database!B651="","",Database!E651)</f>
        <v/>
      </c>
      <c r="F651" s="30">
        <f>IF(Database!B651="","",Database!F651)</f>
        <v/>
      </c>
      <c r="G651" s="30">
        <f>IF(Database!B651="","",Database!G651)</f>
        <v/>
      </c>
      <c r="H651" s="30">
        <f>IF(Database!B651="","",Database!C651)</f>
        <v/>
      </c>
      <c r="I651" s="30">
        <f>IF(Database!B651="","",Database!H651)</f>
        <v/>
      </c>
      <c r="J651" s="31" t="n"/>
      <c r="K651" s="88" t="n"/>
      <c r="L651" s="31" t="n"/>
      <c r="M651" s="31" t="n"/>
      <c r="N651" s="31" t="n"/>
      <c r="O651" s="32" t="n"/>
    </row>
    <row r="652">
      <c r="A652" s="30">
        <f>IF(Database!B652="","",ROW()-1)</f>
        <v/>
      </c>
      <c r="B652" s="30">
        <f>IF(Database!B652="","",Database!B652)</f>
        <v/>
      </c>
      <c r="C652" s="87">
        <f>IF(Database!B652="","",Database!A652)</f>
        <v/>
      </c>
      <c r="D652" s="30">
        <f>IF(Database!B652="","",Database!D652)</f>
        <v/>
      </c>
      <c r="E652" s="30">
        <f>IF(Database!B652="","",Database!E652)</f>
        <v/>
      </c>
      <c r="F652" s="30">
        <f>IF(Database!B652="","",Database!F652)</f>
        <v/>
      </c>
      <c r="G652" s="30">
        <f>IF(Database!B652="","",Database!G652)</f>
        <v/>
      </c>
      <c r="H652" s="30">
        <f>IF(Database!B652="","",Database!C652)</f>
        <v/>
      </c>
      <c r="I652" s="30">
        <f>IF(Database!B652="","",Database!H652)</f>
        <v/>
      </c>
      <c r="J652" s="31" t="n"/>
      <c r="K652" s="88" t="n"/>
      <c r="L652" s="31" t="n"/>
      <c r="M652" s="31" t="n"/>
      <c r="N652" s="31" t="n"/>
      <c r="O652" s="32" t="n"/>
    </row>
    <row r="653">
      <c r="A653" s="30">
        <f>IF(Database!B653="","",ROW()-1)</f>
        <v/>
      </c>
      <c r="B653" s="30">
        <f>IF(Database!B653="","",Database!B653)</f>
        <v/>
      </c>
      <c r="C653" s="87">
        <f>IF(Database!B653="","",Database!A653)</f>
        <v/>
      </c>
      <c r="D653" s="30">
        <f>IF(Database!B653="","",Database!D653)</f>
        <v/>
      </c>
      <c r="E653" s="30">
        <f>IF(Database!B653="","",Database!E653)</f>
        <v/>
      </c>
      <c r="F653" s="30">
        <f>IF(Database!B653="","",Database!F653)</f>
        <v/>
      </c>
      <c r="G653" s="30">
        <f>IF(Database!B653="","",Database!G653)</f>
        <v/>
      </c>
      <c r="H653" s="30">
        <f>IF(Database!B653="","",Database!C653)</f>
        <v/>
      </c>
      <c r="I653" s="30">
        <f>IF(Database!B653="","",Database!H653)</f>
        <v/>
      </c>
      <c r="J653" s="31" t="n"/>
      <c r="K653" s="88" t="n"/>
      <c r="L653" s="31" t="n"/>
      <c r="M653" s="31" t="n"/>
      <c r="N653" s="31" t="n"/>
      <c r="O653" s="32" t="n"/>
    </row>
    <row r="654">
      <c r="A654" s="30">
        <f>IF(Database!B654="","",ROW()-1)</f>
        <v/>
      </c>
      <c r="B654" s="30">
        <f>IF(Database!B654="","",Database!B654)</f>
        <v/>
      </c>
      <c r="C654" s="87">
        <f>IF(Database!B654="","",Database!A654)</f>
        <v/>
      </c>
      <c r="D654" s="30">
        <f>IF(Database!B654="","",Database!D654)</f>
        <v/>
      </c>
      <c r="E654" s="30">
        <f>IF(Database!B654="","",Database!E654)</f>
        <v/>
      </c>
      <c r="F654" s="30">
        <f>IF(Database!B654="","",Database!F654)</f>
        <v/>
      </c>
      <c r="G654" s="30">
        <f>IF(Database!B654="","",Database!G654)</f>
        <v/>
      </c>
      <c r="H654" s="30">
        <f>IF(Database!B654="","",Database!C654)</f>
        <v/>
      </c>
      <c r="I654" s="30">
        <f>IF(Database!B654="","",Database!H654)</f>
        <v/>
      </c>
      <c r="J654" s="31" t="n"/>
      <c r="K654" s="88" t="n"/>
      <c r="L654" s="31" t="n"/>
      <c r="M654" s="31" t="n"/>
      <c r="N654" s="31" t="n"/>
      <c r="O654" s="32" t="n"/>
    </row>
    <row r="655">
      <c r="A655" s="30">
        <f>IF(Database!B655="","",ROW()-1)</f>
        <v/>
      </c>
      <c r="B655" s="30">
        <f>IF(Database!B655="","",Database!B655)</f>
        <v/>
      </c>
      <c r="C655" s="87">
        <f>IF(Database!B655="","",Database!A655)</f>
        <v/>
      </c>
      <c r="D655" s="30">
        <f>IF(Database!B655="","",Database!D655)</f>
        <v/>
      </c>
      <c r="E655" s="30">
        <f>IF(Database!B655="","",Database!E655)</f>
        <v/>
      </c>
      <c r="F655" s="30">
        <f>IF(Database!B655="","",Database!F655)</f>
        <v/>
      </c>
      <c r="G655" s="30">
        <f>IF(Database!B655="","",Database!G655)</f>
        <v/>
      </c>
      <c r="H655" s="30">
        <f>IF(Database!B655="","",Database!C655)</f>
        <v/>
      </c>
      <c r="I655" s="30">
        <f>IF(Database!B655="","",Database!H655)</f>
        <v/>
      </c>
      <c r="J655" s="31" t="n"/>
      <c r="K655" s="88" t="n"/>
      <c r="L655" s="31" t="n"/>
      <c r="M655" s="31" t="n"/>
      <c r="N655" s="31" t="n"/>
      <c r="O655" s="32" t="n"/>
    </row>
    <row r="656">
      <c r="A656" s="30">
        <f>IF(Database!B656="","",ROW()-1)</f>
        <v/>
      </c>
      <c r="B656" s="30">
        <f>IF(Database!B656="","",Database!B656)</f>
        <v/>
      </c>
      <c r="C656" s="87">
        <f>IF(Database!B656="","",Database!A656)</f>
        <v/>
      </c>
      <c r="D656" s="30">
        <f>IF(Database!B656="","",Database!D656)</f>
        <v/>
      </c>
      <c r="E656" s="30">
        <f>IF(Database!B656="","",Database!E656)</f>
        <v/>
      </c>
      <c r="F656" s="30">
        <f>IF(Database!B656="","",Database!F656)</f>
        <v/>
      </c>
      <c r="G656" s="30">
        <f>IF(Database!B656="","",Database!G656)</f>
        <v/>
      </c>
      <c r="H656" s="30">
        <f>IF(Database!B656="","",Database!C656)</f>
        <v/>
      </c>
      <c r="I656" s="30">
        <f>IF(Database!B656="","",Database!H656)</f>
        <v/>
      </c>
      <c r="J656" s="31" t="n"/>
      <c r="K656" s="88" t="n"/>
      <c r="L656" s="31" t="n"/>
      <c r="M656" s="31" t="n"/>
      <c r="N656" s="31" t="n"/>
      <c r="O656" s="32" t="n"/>
    </row>
    <row r="657">
      <c r="A657" s="30">
        <f>IF(Database!B657="","",ROW()-1)</f>
        <v/>
      </c>
      <c r="B657" s="30">
        <f>IF(Database!B657="","",Database!B657)</f>
        <v/>
      </c>
      <c r="C657" s="87">
        <f>IF(Database!B657="","",Database!A657)</f>
        <v/>
      </c>
      <c r="D657" s="30">
        <f>IF(Database!B657="","",Database!D657)</f>
        <v/>
      </c>
      <c r="E657" s="30">
        <f>IF(Database!B657="","",Database!E657)</f>
        <v/>
      </c>
      <c r="F657" s="30">
        <f>IF(Database!B657="","",Database!F657)</f>
        <v/>
      </c>
      <c r="G657" s="30">
        <f>IF(Database!B657="","",Database!G657)</f>
        <v/>
      </c>
      <c r="H657" s="30">
        <f>IF(Database!B657="","",Database!C657)</f>
        <v/>
      </c>
      <c r="I657" s="30">
        <f>IF(Database!B657="","",Database!H657)</f>
        <v/>
      </c>
      <c r="J657" s="31" t="n"/>
      <c r="K657" s="88" t="n"/>
      <c r="L657" s="31" t="n"/>
      <c r="M657" s="31" t="n"/>
      <c r="N657" s="31" t="n"/>
      <c r="O657" s="32" t="n"/>
    </row>
    <row r="658">
      <c r="A658" s="30">
        <f>IF(Database!B658="","",ROW()-1)</f>
        <v/>
      </c>
      <c r="B658" s="30">
        <f>IF(Database!B658="","",Database!B658)</f>
        <v/>
      </c>
      <c r="C658" s="87">
        <f>IF(Database!B658="","",Database!A658)</f>
        <v/>
      </c>
      <c r="D658" s="30">
        <f>IF(Database!B658="","",Database!D658)</f>
        <v/>
      </c>
      <c r="E658" s="30">
        <f>IF(Database!B658="","",Database!E658)</f>
        <v/>
      </c>
      <c r="F658" s="30">
        <f>IF(Database!B658="","",Database!F658)</f>
        <v/>
      </c>
      <c r="G658" s="30">
        <f>IF(Database!B658="","",Database!G658)</f>
        <v/>
      </c>
      <c r="H658" s="30">
        <f>IF(Database!B658="","",Database!C658)</f>
        <v/>
      </c>
      <c r="I658" s="30">
        <f>IF(Database!B658="","",Database!H658)</f>
        <v/>
      </c>
      <c r="J658" s="31" t="n"/>
      <c r="K658" s="88" t="n"/>
      <c r="L658" s="31" t="n"/>
      <c r="M658" s="31" t="n"/>
      <c r="N658" s="31" t="n"/>
      <c r="O658" s="32" t="n"/>
    </row>
    <row r="659">
      <c r="A659" s="30">
        <f>IF(Database!B659="","",ROW()-1)</f>
        <v/>
      </c>
      <c r="B659" s="30">
        <f>IF(Database!B659="","",Database!B659)</f>
        <v/>
      </c>
      <c r="C659" s="87">
        <f>IF(Database!B659="","",Database!A659)</f>
        <v/>
      </c>
      <c r="D659" s="30">
        <f>IF(Database!B659="","",Database!D659)</f>
        <v/>
      </c>
      <c r="E659" s="30">
        <f>IF(Database!B659="","",Database!E659)</f>
        <v/>
      </c>
      <c r="F659" s="30">
        <f>IF(Database!B659="","",Database!F659)</f>
        <v/>
      </c>
      <c r="G659" s="30">
        <f>IF(Database!B659="","",Database!G659)</f>
        <v/>
      </c>
      <c r="H659" s="30">
        <f>IF(Database!B659="","",Database!C659)</f>
        <v/>
      </c>
      <c r="I659" s="30">
        <f>IF(Database!B659="","",Database!H659)</f>
        <v/>
      </c>
      <c r="J659" s="31" t="n"/>
      <c r="K659" s="88" t="n"/>
      <c r="L659" s="31" t="n"/>
      <c r="M659" s="31" t="n"/>
      <c r="N659" s="31" t="n"/>
      <c r="O659" s="32" t="n"/>
    </row>
    <row r="660">
      <c r="A660" s="30">
        <f>IF(Database!B660="","",ROW()-1)</f>
        <v/>
      </c>
      <c r="B660" s="30">
        <f>IF(Database!B660="","",Database!B660)</f>
        <v/>
      </c>
      <c r="C660" s="87">
        <f>IF(Database!B660="","",Database!A660)</f>
        <v/>
      </c>
      <c r="D660" s="30">
        <f>IF(Database!B660="","",Database!D660)</f>
        <v/>
      </c>
      <c r="E660" s="30">
        <f>IF(Database!B660="","",Database!E660)</f>
        <v/>
      </c>
      <c r="F660" s="30">
        <f>IF(Database!B660="","",Database!F660)</f>
        <v/>
      </c>
      <c r="G660" s="30">
        <f>IF(Database!B660="","",Database!G660)</f>
        <v/>
      </c>
      <c r="H660" s="30">
        <f>IF(Database!B660="","",Database!C660)</f>
        <v/>
      </c>
      <c r="I660" s="30">
        <f>IF(Database!B660="","",Database!H660)</f>
        <v/>
      </c>
      <c r="J660" s="31" t="n"/>
      <c r="K660" s="88" t="n"/>
      <c r="L660" s="31" t="n"/>
      <c r="M660" s="31" t="n"/>
      <c r="N660" s="31" t="n"/>
      <c r="O660" s="32" t="n"/>
    </row>
    <row r="661">
      <c r="A661" s="30">
        <f>IF(Database!B661="","",ROW()-1)</f>
        <v/>
      </c>
      <c r="B661" s="30">
        <f>IF(Database!B661="","",Database!B661)</f>
        <v/>
      </c>
      <c r="C661" s="87">
        <f>IF(Database!B661="","",Database!A661)</f>
        <v/>
      </c>
      <c r="D661" s="30">
        <f>IF(Database!B661="","",Database!D661)</f>
        <v/>
      </c>
      <c r="E661" s="30">
        <f>IF(Database!B661="","",Database!E661)</f>
        <v/>
      </c>
      <c r="F661" s="30">
        <f>IF(Database!B661="","",Database!F661)</f>
        <v/>
      </c>
      <c r="G661" s="30">
        <f>IF(Database!B661="","",Database!G661)</f>
        <v/>
      </c>
      <c r="H661" s="30">
        <f>IF(Database!B661="","",Database!C661)</f>
        <v/>
      </c>
      <c r="I661" s="30">
        <f>IF(Database!B661="","",Database!H661)</f>
        <v/>
      </c>
      <c r="J661" s="31" t="n"/>
      <c r="K661" s="88" t="n"/>
      <c r="L661" s="31" t="n"/>
      <c r="M661" s="31" t="n"/>
      <c r="N661" s="31" t="n"/>
      <c r="O661" s="32" t="n"/>
    </row>
    <row r="662">
      <c r="A662" s="30">
        <f>IF(Database!B662="","",ROW()-1)</f>
        <v/>
      </c>
      <c r="B662" s="30">
        <f>IF(Database!B662="","",Database!B662)</f>
        <v/>
      </c>
      <c r="C662" s="87">
        <f>IF(Database!B662="","",Database!A662)</f>
        <v/>
      </c>
      <c r="D662" s="30">
        <f>IF(Database!B662="","",Database!D662)</f>
        <v/>
      </c>
      <c r="E662" s="30">
        <f>IF(Database!B662="","",Database!E662)</f>
        <v/>
      </c>
      <c r="F662" s="30">
        <f>IF(Database!B662="","",Database!F662)</f>
        <v/>
      </c>
      <c r="G662" s="30">
        <f>IF(Database!B662="","",Database!G662)</f>
        <v/>
      </c>
      <c r="H662" s="30">
        <f>IF(Database!B662="","",Database!C662)</f>
        <v/>
      </c>
      <c r="I662" s="30">
        <f>IF(Database!B662="","",Database!H662)</f>
        <v/>
      </c>
      <c r="J662" s="31" t="n"/>
      <c r="K662" s="88" t="n"/>
      <c r="L662" s="31" t="n"/>
      <c r="M662" s="31" t="n"/>
      <c r="N662" s="31" t="n"/>
      <c r="O662" s="32" t="n"/>
    </row>
    <row r="663">
      <c r="A663" s="30">
        <f>IF(Database!B663="","",ROW()-1)</f>
        <v/>
      </c>
      <c r="B663" s="30">
        <f>IF(Database!B663="","",Database!B663)</f>
        <v/>
      </c>
      <c r="C663" s="87">
        <f>IF(Database!B663="","",Database!A663)</f>
        <v/>
      </c>
      <c r="D663" s="30">
        <f>IF(Database!B663="","",Database!D663)</f>
        <v/>
      </c>
      <c r="E663" s="30">
        <f>IF(Database!B663="","",Database!E663)</f>
        <v/>
      </c>
      <c r="F663" s="30">
        <f>IF(Database!B663="","",Database!F663)</f>
        <v/>
      </c>
      <c r="G663" s="30">
        <f>IF(Database!B663="","",Database!G663)</f>
        <v/>
      </c>
      <c r="H663" s="30">
        <f>IF(Database!B663="","",Database!C663)</f>
        <v/>
      </c>
      <c r="I663" s="30">
        <f>IF(Database!B663="","",Database!H663)</f>
        <v/>
      </c>
      <c r="J663" s="31" t="n"/>
      <c r="K663" s="88" t="n"/>
      <c r="L663" s="31" t="n"/>
      <c r="M663" s="31" t="n"/>
      <c r="N663" s="31" t="n"/>
      <c r="O663" s="32" t="n"/>
    </row>
    <row r="664">
      <c r="A664" s="30">
        <f>IF(Database!B664="","",ROW()-1)</f>
        <v/>
      </c>
      <c r="B664" s="30">
        <f>IF(Database!B664="","",Database!B664)</f>
        <v/>
      </c>
      <c r="C664" s="87">
        <f>IF(Database!B664="","",Database!A664)</f>
        <v/>
      </c>
      <c r="D664" s="30">
        <f>IF(Database!B664="","",Database!D664)</f>
        <v/>
      </c>
      <c r="E664" s="30">
        <f>IF(Database!B664="","",Database!E664)</f>
        <v/>
      </c>
      <c r="F664" s="30">
        <f>IF(Database!B664="","",Database!F664)</f>
        <v/>
      </c>
      <c r="G664" s="30">
        <f>IF(Database!B664="","",Database!G664)</f>
        <v/>
      </c>
      <c r="H664" s="30">
        <f>IF(Database!B664="","",Database!C664)</f>
        <v/>
      </c>
      <c r="I664" s="30">
        <f>IF(Database!B664="","",Database!H664)</f>
        <v/>
      </c>
      <c r="J664" s="31" t="n"/>
      <c r="K664" s="88" t="n"/>
      <c r="L664" s="31" t="n"/>
      <c r="M664" s="31" t="n"/>
      <c r="N664" s="31" t="n"/>
      <c r="O664" s="32" t="n"/>
    </row>
    <row r="665">
      <c r="A665" s="30">
        <f>IF(Database!B665="","",ROW()-1)</f>
        <v/>
      </c>
      <c r="B665" s="30">
        <f>IF(Database!B665="","",Database!B665)</f>
        <v/>
      </c>
      <c r="C665" s="87">
        <f>IF(Database!B665="","",Database!A665)</f>
        <v/>
      </c>
      <c r="D665" s="30">
        <f>IF(Database!B665="","",Database!D665)</f>
        <v/>
      </c>
      <c r="E665" s="30">
        <f>IF(Database!B665="","",Database!E665)</f>
        <v/>
      </c>
      <c r="F665" s="30">
        <f>IF(Database!B665="","",Database!F665)</f>
        <v/>
      </c>
      <c r="G665" s="30">
        <f>IF(Database!B665="","",Database!G665)</f>
        <v/>
      </c>
      <c r="H665" s="30">
        <f>IF(Database!B665="","",Database!C665)</f>
        <v/>
      </c>
      <c r="I665" s="30">
        <f>IF(Database!B665="","",Database!H665)</f>
        <v/>
      </c>
      <c r="J665" s="31" t="n"/>
      <c r="K665" s="88" t="n"/>
      <c r="L665" s="31" t="n"/>
      <c r="M665" s="31" t="n"/>
      <c r="N665" s="31" t="n"/>
      <c r="O665" s="32" t="n"/>
    </row>
    <row r="666">
      <c r="A666" s="30">
        <f>IF(Database!B666="","",ROW()-1)</f>
        <v/>
      </c>
      <c r="B666" s="30">
        <f>IF(Database!B666="","",Database!B666)</f>
        <v/>
      </c>
      <c r="C666" s="87">
        <f>IF(Database!B666="","",Database!A666)</f>
        <v/>
      </c>
      <c r="D666" s="30">
        <f>IF(Database!B666="","",Database!D666)</f>
        <v/>
      </c>
      <c r="E666" s="30">
        <f>IF(Database!B666="","",Database!E666)</f>
        <v/>
      </c>
      <c r="F666" s="30">
        <f>IF(Database!B666="","",Database!F666)</f>
        <v/>
      </c>
      <c r="G666" s="30">
        <f>IF(Database!B666="","",Database!G666)</f>
        <v/>
      </c>
      <c r="H666" s="30">
        <f>IF(Database!B666="","",Database!C666)</f>
        <v/>
      </c>
      <c r="I666" s="30">
        <f>IF(Database!B666="","",Database!H666)</f>
        <v/>
      </c>
      <c r="J666" s="31" t="n"/>
      <c r="K666" s="88" t="n"/>
      <c r="L666" s="31" t="n"/>
      <c r="M666" s="31" t="n"/>
      <c r="N666" s="31" t="n"/>
      <c r="O666" s="32" t="n"/>
    </row>
    <row r="667">
      <c r="A667" s="30">
        <f>IF(Database!B667="","",ROW()-1)</f>
        <v/>
      </c>
      <c r="B667" s="30">
        <f>IF(Database!B667="","",Database!B667)</f>
        <v/>
      </c>
      <c r="C667" s="87">
        <f>IF(Database!B667="","",Database!A667)</f>
        <v/>
      </c>
      <c r="D667" s="30">
        <f>IF(Database!B667="","",Database!D667)</f>
        <v/>
      </c>
      <c r="E667" s="30">
        <f>IF(Database!B667="","",Database!E667)</f>
        <v/>
      </c>
      <c r="F667" s="30">
        <f>IF(Database!B667="","",Database!F667)</f>
        <v/>
      </c>
      <c r="G667" s="30">
        <f>IF(Database!B667="","",Database!G667)</f>
        <v/>
      </c>
      <c r="H667" s="30">
        <f>IF(Database!B667="","",Database!C667)</f>
        <v/>
      </c>
      <c r="I667" s="30">
        <f>IF(Database!B667="","",Database!H667)</f>
        <v/>
      </c>
      <c r="J667" s="31" t="n"/>
      <c r="K667" s="88" t="n"/>
      <c r="L667" s="31" t="n"/>
      <c r="M667" s="31" t="n"/>
      <c r="N667" s="31" t="n"/>
      <c r="O667" s="32" t="n"/>
    </row>
    <row r="668">
      <c r="A668" s="30">
        <f>IF(Database!B668="","",ROW()-1)</f>
        <v/>
      </c>
      <c r="B668" s="30">
        <f>IF(Database!B668="","",Database!B668)</f>
        <v/>
      </c>
      <c r="C668" s="87">
        <f>IF(Database!B668="","",Database!A668)</f>
        <v/>
      </c>
      <c r="D668" s="30">
        <f>IF(Database!B668="","",Database!D668)</f>
        <v/>
      </c>
      <c r="E668" s="30">
        <f>IF(Database!B668="","",Database!E668)</f>
        <v/>
      </c>
      <c r="F668" s="30">
        <f>IF(Database!B668="","",Database!F668)</f>
        <v/>
      </c>
      <c r="G668" s="30">
        <f>IF(Database!B668="","",Database!G668)</f>
        <v/>
      </c>
      <c r="H668" s="30">
        <f>IF(Database!B668="","",Database!C668)</f>
        <v/>
      </c>
      <c r="I668" s="30">
        <f>IF(Database!B668="","",Database!H668)</f>
        <v/>
      </c>
      <c r="J668" s="31" t="n"/>
      <c r="K668" s="88" t="n"/>
      <c r="L668" s="31" t="n"/>
      <c r="M668" s="31" t="n"/>
      <c r="N668" s="31" t="n"/>
      <c r="O668" s="32" t="n"/>
    </row>
    <row r="669">
      <c r="A669" s="30">
        <f>IF(Database!B669="","",ROW()-1)</f>
        <v/>
      </c>
      <c r="B669" s="30">
        <f>IF(Database!B669="","",Database!B669)</f>
        <v/>
      </c>
      <c r="C669" s="87">
        <f>IF(Database!B669="","",Database!A669)</f>
        <v/>
      </c>
      <c r="D669" s="30">
        <f>IF(Database!B669="","",Database!D669)</f>
        <v/>
      </c>
      <c r="E669" s="30">
        <f>IF(Database!B669="","",Database!E669)</f>
        <v/>
      </c>
      <c r="F669" s="30">
        <f>IF(Database!B669="","",Database!F669)</f>
        <v/>
      </c>
      <c r="G669" s="30">
        <f>IF(Database!B669="","",Database!G669)</f>
        <v/>
      </c>
      <c r="H669" s="30">
        <f>IF(Database!B669="","",Database!C669)</f>
        <v/>
      </c>
      <c r="I669" s="30">
        <f>IF(Database!B669="","",Database!H669)</f>
        <v/>
      </c>
      <c r="J669" s="31" t="n"/>
      <c r="K669" s="88" t="n"/>
      <c r="L669" s="31" t="n"/>
      <c r="M669" s="31" t="n"/>
      <c r="N669" s="31" t="n"/>
      <c r="O669" s="32" t="n"/>
    </row>
    <row r="670">
      <c r="A670" s="30">
        <f>IF(Database!B670="","",ROW()-1)</f>
        <v/>
      </c>
      <c r="B670" s="30">
        <f>IF(Database!B670="","",Database!B670)</f>
        <v/>
      </c>
      <c r="C670" s="87">
        <f>IF(Database!B670="","",Database!A670)</f>
        <v/>
      </c>
      <c r="D670" s="30">
        <f>IF(Database!B670="","",Database!D670)</f>
        <v/>
      </c>
      <c r="E670" s="30">
        <f>IF(Database!B670="","",Database!E670)</f>
        <v/>
      </c>
      <c r="F670" s="30">
        <f>IF(Database!B670="","",Database!F670)</f>
        <v/>
      </c>
      <c r="G670" s="30">
        <f>IF(Database!B670="","",Database!G670)</f>
        <v/>
      </c>
      <c r="H670" s="30">
        <f>IF(Database!B670="","",Database!C670)</f>
        <v/>
      </c>
      <c r="I670" s="30">
        <f>IF(Database!B670="","",Database!H670)</f>
        <v/>
      </c>
      <c r="J670" s="31" t="n"/>
      <c r="K670" s="88" t="n"/>
      <c r="L670" s="31" t="n"/>
      <c r="M670" s="31" t="n"/>
      <c r="N670" s="31" t="n"/>
      <c r="O670" s="32" t="n"/>
    </row>
    <row r="671">
      <c r="A671" s="30">
        <f>IF(Database!B671="","",ROW()-1)</f>
        <v/>
      </c>
      <c r="B671" s="30">
        <f>IF(Database!B671="","",Database!B671)</f>
        <v/>
      </c>
      <c r="C671" s="87">
        <f>IF(Database!B671="","",Database!A671)</f>
        <v/>
      </c>
      <c r="D671" s="30">
        <f>IF(Database!B671="","",Database!D671)</f>
        <v/>
      </c>
      <c r="E671" s="30">
        <f>IF(Database!B671="","",Database!E671)</f>
        <v/>
      </c>
      <c r="F671" s="30">
        <f>IF(Database!B671="","",Database!F671)</f>
        <v/>
      </c>
      <c r="G671" s="30">
        <f>IF(Database!B671="","",Database!G671)</f>
        <v/>
      </c>
      <c r="H671" s="30">
        <f>IF(Database!B671="","",Database!C671)</f>
        <v/>
      </c>
      <c r="I671" s="30">
        <f>IF(Database!B671="","",Database!H671)</f>
        <v/>
      </c>
      <c r="J671" s="31" t="n"/>
      <c r="K671" s="88" t="n"/>
      <c r="L671" s="31" t="n"/>
      <c r="M671" s="31" t="n"/>
      <c r="N671" s="31" t="n"/>
      <c r="O671" s="32" t="n"/>
    </row>
    <row r="672">
      <c r="A672" s="30">
        <f>IF(Database!B672="","",ROW()-1)</f>
        <v/>
      </c>
      <c r="B672" s="30">
        <f>IF(Database!B672="","",Database!B672)</f>
        <v/>
      </c>
      <c r="C672" s="87">
        <f>IF(Database!B672="","",Database!A672)</f>
        <v/>
      </c>
      <c r="D672" s="30">
        <f>IF(Database!B672="","",Database!D672)</f>
        <v/>
      </c>
      <c r="E672" s="30">
        <f>IF(Database!B672="","",Database!E672)</f>
        <v/>
      </c>
      <c r="F672" s="30">
        <f>IF(Database!B672="","",Database!F672)</f>
        <v/>
      </c>
      <c r="G672" s="30">
        <f>IF(Database!B672="","",Database!G672)</f>
        <v/>
      </c>
      <c r="H672" s="30">
        <f>IF(Database!B672="","",Database!C672)</f>
        <v/>
      </c>
      <c r="I672" s="30">
        <f>IF(Database!B672="","",Database!H672)</f>
        <v/>
      </c>
      <c r="J672" s="31" t="n"/>
      <c r="K672" s="88" t="n"/>
      <c r="L672" s="31" t="n"/>
      <c r="M672" s="31" t="n"/>
      <c r="N672" s="31" t="n"/>
      <c r="O672" s="32" t="n"/>
    </row>
    <row r="673">
      <c r="A673" s="30">
        <f>IF(Database!B673="","",ROW()-1)</f>
        <v/>
      </c>
      <c r="B673" s="30">
        <f>IF(Database!B673="","",Database!B673)</f>
        <v/>
      </c>
      <c r="C673" s="87">
        <f>IF(Database!B673="","",Database!A673)</f>
        <v/>
      </c>
      <c r="D673" s="30">
        <f>IF(Database!B673="","",Database!D673)</f>
        <v/>
      </c>
      <c r="E673" s="30">
        <f>IF(Database!B673="","",Database!E673)</f>
        <v/>
      </c>
      <c r="F673" s="30">
        <f>IF(Database!B673="","",Database!F673)</f>
        <v/>
      </c>
      <c r="G673" s="30">
        <f>IF(Database!B673="","",Database!G673)</f>
        <v/>
      </c>
      <c r="H673" s="30">
        <f>IF(Database!B673="","",Database!C673)</f>
        <v/>
      </c>
      <c r="I673" s="30">
        <f>IF(Database!B673="","",Database!H673)</f>
        <v/>
      </c>
      <c r="J673" s="31" t="n"/>
      <c r="K673" s="88" t="n"/>
      <c r="L673" s="31" t="n"/>
      <c r="M673" s="31" t="n"/>
      <c r="N673" s="31" t="n"/>
      <c r="O673" s="32" t="n"/>
    </row>
    <row r="674">
      <c r="A674" s="30">
        <f>IF(Database!B674="","",ROW()-1)</f>
        <v/>
      </c>
      <c r="B674" s="30">
        <f>IF(Database!B674="","",Database!B674)</f>
        <v/>
      </c>
      <c r="C674" s="87">
        <f>IF(Database!B674="","",Database!A674)</f>
        <v/>
      </c>
      <c r="D674" s="30">
        <f>IF(Database!B674="","",Database!D674)</f>
        <v/>
      </c>
      <c r="E674" s="30">
        <f>IF(Database!B674="","",Database!E674)</f>
        <v/>
      </c>
      <c r="F674" s="30">
        <f>IF(Database!B674="","",Database!F674)</f>
        <v/>
      </c>
      <c r="G674" s="30">
        <f>IF(Database!B674="","",Database!G674)</f>
        <v/>
      </c>
      <c r="H674" s="30">
        <f>IF(Database!B674="","",Database!C674)</f>
        <v/>
      </c>
      <c r="I674" s="30">
        <f>IF(Database!B674="","",Database!H674)</f>
        <v/>
      </c>
      <c r="J674" s="31" t="n"/>
      <c r="K674" s="88" t="n"/>
      <c r="L674" s="31" t="n"/>
      <c r="M674" s="31" t="n"/>
      <c r="N674" s="31" t="n"/>
      <c r="O674" s="32" t="n"/>
    </row>
    <row r="675">
      <c r="A675" s="30">
        <f>IF(Database!B675="","",ROW()-1)</f>
        <v/>
      </c>
      <c r="B675" s="30">
        <f>IF(Database!B675="","",Database!B675)</f>
        <v/>
      </c>
      <c r="C675" s="87">
        <f>IF(Database!B675="","",Database!A675)</f>
        <v/>
      </c>
      <c r="D675" s="30">
        <f>IF(Database!B675="","",Database!D675)</f>
        <v/>
      </c>
      <c r="E675" s="30">
        <f>IF(Database!B675="","",Database!E675)</f>
        <v/>
      </c>
      <c r="F675" s="30">
        <f>IF(Database!B675="","",Database!F675)</f>
        <v/>
      </c>
      <c r="G675" s="30">
        <f>IF(Database!B675="","",Database!G675)</f>
        <v/>
      </c>
      <c r="H675" s="30">
        <f>IF(Database!B675="","",Database!C675)</f>
        <v/>
      </c>
      <c r="I675" s="30">
        <f>IF(Database!B675="","",Database!H675)</f>
        <v/>
      </c>
      <c r="J675" s="31" t="n"/>
      <c r="K675" s="88" t="n"/>
      <c r="L675" s="31" t="n"/>
      <c r="M675" s="31" t="n"/>
      <c r="N675" s="31" t="n"/>
      <c r="O675" s="32" t="n"/>
    </row>
    <row r="676">
      <c r="A676" s="30">
        <f>IF(Database!B676="","",ROW()-1)</f>
        <v/>
      </c>
      <c r="B676" s="30">
        <f>IF(Database!B676="","",Database!B676)</f>
        <v/>
      </c>
      <c r="C676" s="87">
        <f>IF(Database!B676="","",Database!A676)</f>
        <v/>
      </c>
      <c r="D676" s="30">
        <f>IF(Database!B676="","",Database!D676)</f>
        <v/>
      </c>
      <c r="E676" s="30">
        <f>IF(Database!B676="","",Database!E676)</f>
        <v/>
      </c>
      <c r="F676" s="30">
        <f>IF(Database!B676="","",Database!F676)</f>
        <v/>
      </c>
      <c r="G676" s="30">
        <f>IF(Database!B676="","",Database!G676)</f>
        <v/>
      </c>
      <c r="H676" s="30">
        <f>IF(Database!B676="","",Database!C676)</f>
        <v/>
      </c>
      <c r="I676" s="30">
        <f>IF(Database!B676="","",Database!H676)</f>
        <v/>
      </c>
      <c r="J676" s="31" t="n"/>
      <c r="K676" s="88" t="n"/>
      <c r="L676" s="31" t="n"/>
      <c r="M676" s="31" t="n"/>
      <c r="N676" s="31" t="n"/>
      <c r="O676" s="32" t="n"/>
    </row>
    <row r="677">
      <c r="A677" s="30">
        <f>IF(Database!B677="","",ROW()-1)</f>
        <v/>
      </c>
      <c r="B677" s="30">
        <f>IF(Database!B677="","",Database!B677)</f>
        <v/>
      </c>
      <c r="C677" s="87">
        <f>IF(Database!B677="","",Database!A677)</f>
        <v/>
      </c>
      <c r="D677" s="30">
        <f>IF(Database!B677="","",Database!D677)</f>
        <v/>
      </c>
      <c r="E677" s="30">
        <f>IF(Database!B677="","",Database!E677)</f>
        <v/>
      </c>
      <c r="F677" s="30">
        <f>IF(Database!B677="","",Database!F677)</f>
        <v/>
      </c>
      <c r="G677" s="30">
        <f>IF(Database!B677="","",Database!G677)</f>
        <v/>
      </c>
      <c r="H677" s="30">
        <f>IF(Database!B677="","",Database!C677)</f>
        <v/>
      </c>
      <c r="I677" s="30">
        <f>IF(Database!B677="","",Database!H677)</f>
        <v/>
      </c>
      <c r="J677" s="31" t="n"/>
      <c r="K677" s="88" t="n"/>
      <c r="L677" s="31" t="n"/>
      <c r="M677" s="31" t="n"/>
      <c r="N677" s="31" t="n"/>
      <c r="O677" s="32" t="n"/>
    </row>
    <row r="678">
      <c r="A678" s="30">
        <f>IF(Database!B678="","",ROW()-1)</f>
        <v/>
      </c>
      <c r="B678" s="30">
        <f>IF(Database!B678="","",Database!B678)</f>
        <v/>
      </c>
      <c r="C678" s="87">
        <f>IF(Database!B678="","",Database!A678)</f>
        <v/>
      </c>
      <c r="D678" s="30">
        <f>IF(Database!B678="","",Database!D678)</f>
        <v/>
      </c>
      <c r="E678" s="30">
        <f>IF(Database!B678="","",Database!E678)</f>
        <v/>
      </c>
      <c r="F678" s="30">
        <f>IF(Database!B678="","",Database!F678)</f>
        <v/>
      </c>
      <c r="G678" s="30">
        <f>IF(Database!B678="","",Database!G678)</f>
        <v/>
      </c>
      <c r="H678" s="30">
        <f>IF(Database!B678="","",Database!C678)</f>
        <v/>
      </c>
      <c r="I678" s="30">
        <f>IF(Database!B678="","",Database!H678)</f>
        <v/>
      </c>
      <c r="J678" s="31" t="n"/>
      <c r="K678" s="88" t="n"/>
      <c r="L678" s="31" t="n"/>
      <c r="M678" s="31" t="n"/>
      <c r="N678" s="31" t="n"/>
      <c r="O678" s="32" t="n"/>
    </row>
    <row r="679">
      <c r="A679" s="30">
        <f>IF(Database!B679="","",ROW()-1)</f>
        <v/>
      </c>
      <c r="B679" s="30">
        <f>IF(Database!B679="","",Database!B679)</f>
        <v/>
      </c>
      <c r="C679" s="87">
        <f>IF(Database!B679="","",Database!A679)</f>
        <v/>
      </c>
      <c r="D679" s="30">
        <f>IF(Database!B679="","",Database!D679)</f>
        <v/>
      </c>
      <c r="E679" s="30">
        <f>IF(Database!B679="","",Database!E679)</f>
        <v/>
      </c>
      <c r="F679" s="30">
        <f>IF(Database!B679="","",Database!F679)</f>
        <v/>
      </c>
      <c r="G679" s="30">
        <f>IF(Database!B679="","",Database!G679)</f>
        <v/>
      </c>
      <c r="H679" s="30">
        <f>IF(Database!B679="","",Database!C679)</f>
        <v/>
      </c>
      <c r="I679" s="30">
        <f>IF(Database!B679="","",Database!H679)</f>
        <v/>
      </c>
      <c r="J679" s="31" t="n"/>
      <c r="K679" s="88" t="n"/>
      <c r="L679" s="31" t="n"/>
      <c r="M679" s="31" t="n"/>
      <c r="N679" s="31" t="n"/>
      <c r="O679" s="32" t="n"/>
    </row>
    <row r="680">
      <c r="A680" s="30">
        <f>IF(Database!B680="","",ROW()-1)</f>
        <v/>
      </c>
      <c r="B680" s="30">
        <f>IF(Database!B680="","",Database!B680)</f>
        <v/>
      </c>
      <c r="C680" s="87">
        <f>IF(Database!B680="","",Database!A680)</f>
        <v/>
      </c>
      <c r="D680" s="30">
        <f>IF(Database!B680="","",Database!D680)</f>
        <v/>
      </c>
      <c r="E680" s="30">
        <f>IF(Database!B680="","",Database!E680)</f>
        <v/>
      </c>
      <c r="F680" s="30">
        <f>IF(Database!B680="","",Database!F680)</f>
        <v/>
      </c>
      <c r="G680" s="30">
        <f>IF(Database!B680="","",Database!G680)</f>
        <v/>
      </c>
      <c r="H680" s="30">
        <f>IF(Database!B680="","",Database!C680)</f>
        <v/>
      </c>
      <c r="I680" s="30">
        <f>IF(Database!B680="","",Database!H680)</f>
        <v/>
      </c>
      <c r="J680" s="31" t="n"/>
      <c r="K680" s="88" t="n"/>
      <c r="L680" s="31" t="n"/>
      <c r="M680" s="31" t="n"/>
      <c r="N680" s="31" t="n"/>
      <c r="O680" s="32" t="n"/>
    </row>
    <row r="681">
      <c r="A681" s="30">
        <f>IF(Database!B681="","",ROW()-1)</f>
        <v/>
      </c>
      <c r="B681" s="30">
        <f>IF(Database!B681="","",Database!B681)</f>
        <v/>
      </c>
      <c r="C681" s="87">
        <f>IF(Database!B681="","",Database!A681)</f>
        <v/>
      </c>
      <c r="D681" s="30">
        <f>IF(Database!B681="","",Database!D681)</f>
        <v/>
      </c>
      <c r="E681" s="30">
        <f>IF(Database!B681="","",Database!E681)</f>
        <v/>
      </c>
      <c r="F681" s="30">
        <f>IF(Database!B681="","",Database!F681)</f>
        <v/>
      </c>
      <c r="G681" s="30">
        <f>IF(Database!B681="","",Database!G681)</f>
        <v/>
      </c>
      <c r="H681" s="30">
        <f>IF(Database!B681="","",Database!C681)</f>
        <v/>
      </c>
      <c r="I681" s="30">
        <f>IF(Database!B681="","",Database!H681)</f>
        <v/>
      </c>
      <c r="J681" s="31" t="n"/>
      <c r="K681" s="88" t="n"/>
      <c r="L681" s="31" t="n"/>
      <c r="M681" s="31" t="n"/>
      <c r="N681" s="31" t="n"/>
      <c r="O681" s="32" t="n"/>
    </row>
    <row r="682">
      <c r="A682" s="30">
        <f>IF(Database!B682="","",ROW()-1)</f>
        <v/>
      </c>
      <c r="B682" s="30">
        <f>IF(Database!B682="","",Database!B682)</f>
        <v/>
      </c>
      <c r="C682" s="87">
        <f>IF(Database!B682="","",Database!A682)</f>
        <v/>
      </c>
      <c r="D682" s="30">
        <f>IF(Database!B682="","",Database!D682)</f>
        <v/>
      </c>
      <c r="E682" s="30">
        <f>IF(Database!B682="","",Database!E682)</f>
        <v/>
      </c>
      <c r="F682" s="30">
        <f>IF(Database!B682="","",Database!F682)</f>
        <v/>
      </c>
      <c r="G682" s="30">
        <f>IF(Database!B682="","",Database!G682)</f>
        <v/>
      </c>
      <c r="H682" s="30">
        <f>IF(Database!B682="","",Database!C682)</f>
        <v/>
      </c>
      <c r="I682" s="30">
        <f>IF(Database!B682="","",Database!H682)</f>
        <v/>
      </c>
      <c r="J682" s="31" t="n"/>
      <c r="K682" s="88" t="n"/>
      <c r="L682" s="31" t="n"/>
      <c r="M682" s="31" t="n"/>
      <c r="N682" s="31" t="n"/>
      <c r="O682" s="32" t="n"/>
    </row>
    <row r="683">
      <c r="A683" s="30">
        <f>IF(Database!B683="","",ROW()-1)</f>
        <v/>
      </c>
      <c r="B683" s="30">
        <f>IF(Database!B683="","",Database!B683)</f>
        <v/>
      </c>
      <c r="C683" s="87">
        <f>IF(Database!B683="","",Database!A683)</f>
        <v/>
      </c>
      <c r="D683" s="30">
        <f>IF(Database!B683="","",Database!D683)</f>
        <v/>
      </c>
      <c r="E683" s="30">
        <f>IF(Database!B683="","",Database!E683)</f>
        <v/>
      </c>
      <c r="F683" s="30">
        <f>IF(Database!B683="","",Database!F683)</f>
        <v/>
      </c>
      <c r="G683" s="30">
        <f>IF(Database!B683="","",Database!G683)</f>
        <v/>
      </c>
      <c r="H683" s="30">
        <f>IF(Database!B683="","",Database!C683)</f>
        <v/>
      </c>
      <c r="I683" s="30">
        <f>IF(Database!B683="","",Database!H683)</f>
        <v/>
      </c>
      <c r="J683" s="31" t="n"/>
      <c r="K683" s="88" t="n"/>
      <c r="L683" s="31" t="n"/>
      <c r="M683" s="31" t="n"/>
      <c r="N683" s="31" t="n"/>
      <c r="O683" s="32" t="n"/>
    </row>
    <row r="684">
      <c r="A684" s="30">
        <f>IF(Database!B684="","",ROW()-1)</f>
        <v/>
      </c>
      <c r="B684" s="30">
        <f>IF(Database!B684="","",Database!B684)</f>
        <v/>
      </c>
      <c r="C684" s="87">
        <f>IF(Database!B684="","",Database!A684)</f>
        <v/>
      </c>
      <c r="D684" s="30">
        <f>IF(Database!B684="","",Database!D684)</f>
        <v/>
      </c>
      <c r="E684" s="30">
        <f>IF(Database!B684="","",Database!E684)</f>
        <v/>
      </c>
      <c r="F684" s="30">
        <f>IF(Database!B684="","",Database!F684)</f>
        <v/>
      </c>
      <c r="G684" s="30">
        <f>IF(Database!B684="","",Database!G684)</f>
        <v/>
      </c>
      <c r="H684" s="30">
        <f>IF(Database!B684="","",Database!C684)</f>
        <v/>
      </c>
      <c r="I684" s="30">
        <f>IF(Database!B684="","",Database!H684)</f>
        <v/>
      </c>
      <c r="J684" s="31" t="n"/>
      <c r="K684" s="88" t="n"/>
      <c r="L684" s="31" t="n"/>
      <c r="M684" s="31" t="n"/>
      <c r="N684" s="31" t="n"/>
      <c r="O684" s="32" t="n"/>
    </row>
    <row r="685">
      <c r="A685" s="30">
        <f>IF(Database!B685="","",ROW()-1)</f>
        <v/>
      </c>
      <c r="B685" s="30">
        <f>IF(Database!B685="","",Database!B685)</f>
        <v/>
      </c>
      <c r="C685" s="87">
        <f>IF(Database!B685="","",Database!A685)</f>
        <v/>
      </c>
      <c r="D685" s="30">
        <f>IF(Database!B685="","",Database!D685)</f>
        <v/>
      </c>
      <c r="E685" s="30">
        <f>IF(Database!B685="","",Database!E685)</f>
        <v/>
      </c>
      <c r="F685" s="30">
        <f>IF(Database!B685="","",Database!F685)</f>
        <v/>
      </c>
      <c r="G685" s="30">
        <f>IF(Database!B685="","",Database!G685)</f>
        <v/>
      </c>
      <c r="H685" s="30">
        <f>IF(Database!B685="","",Database!C685)</f>
        <v/>
      </c>
      <c r="I685" s="30">
        <f>IF(Database!B685="","",Database!H685)</f>
        <v/>
      </c>
      <c r="J685" s="31" t="n"/>
      <c r="K685" s="88" t="n"/>
      <c r="L685" s="31" t="n"/>
      <c r="M685" s="31" t="n"/>
      <c r="N685" s="31" t="n"/>
      <c r="O685" s="32" t="n"/>
    </row>
    <row r="686">
      <c r="A686" s="30">
        <f>IF(Database!B686="","",ROW()-1)</f>
        <v/>
      </c>
      <c r="B686" s="30">
        <f>IF(Database!B686="","",Database!B686)</f>
        <v/>
      </c>
      <c r="C686" s="87">
        <f>IF(Database!B686="","",Database!A686)</f>
        <v/>
      </c>
      <c r="D686" s="30">
        <f>IF(Database!B686="","",Database!D686)</f>
        <v/>
      </c>
      <c r="E686" s="30">
        <f>IF(Database!B686="","",Database!E686)</f>
        <v/>
      </c>
      <c r="F686" s="30">
        <f>IF(Database!B686="","",Database!F686)</f>
        <v/>
      </c>
      <c r="G686" s="30">
        <f>IF(Database!B686="","",Database!G686)</f>
        <v/>
      </c>
      <c r="H686" s="30">
        <f>IF(Database!B686="","",Database!C686)</f>
        <v/>
      </c>
      <c r="I686" s="30">
        <f>IF(Database!B686="","",Database!H686)</f>
        <v/>
      </c>
      <c r="J686" s="31" t="n"/>
      <c r="K686" s="88" t="n"/>
      <c r="L686" s="31" t="n"/>
      <c r="M686" s="31" t="n"/>
      <c r="N686" s="31" t="n"/>
      <c r="O686" s="32" t="n"/>
    </row>
    <row r="687">
      <c r="A687" s="30">
        <f>IF(Database!B687="","",ROW()-1)</f>
        <v/>
      </c>
      <c r="B687" s="30">
        <f>IF(Database!B687="","",Database!B687)</f>
        <v/>
      </c>
      <c r="C687" s="87">
        <f>IF(Database!B687="","",Database!A687)</f>
        <v/>
      </c>
      <c r="D687" s="30">
        <f>IF(Database!B687="","",Database!D687)</f>
        <v/>
      </c>
      <c r="E687" s="30">
        <f>IF(Database!B687="","",Database!E687)</f>
        <v/>
      </c>
      <c r="F687" s="30">
        <f>IF(Database!B687="","",Database!F687)</f>
        <v/>
      </c>
      <c r="G687" s="30">
        <f>IF(Database!B687="","",Database!G687)</f>
        <v/>
      </c>
      <c r="H687" s="30">
        <f>IF(Database!B687="","",Database!C687)</f>
        <v/>
      </c>
      <c r="I687" s="30">
        <f>IF(Database!B687="","",Database!H687)</f>
        <v/>
      </c>
      <c r="J687" s="31" t="n"/>
      <c r="K687" s="88" t="n"/>
      <c r="L687" s="31" t="n"/>
      <c r="M687" s="31" t="n"/>
      <c r="N687" s="31" t="n"/>
      <c r="O687" s="32" t="n"/>
    </row>
    <row r="688">
      <c r="A688" s="30">
        <f>IF(Database!B688="","",ROW()-1)</f>
        <v/>
      </c>
      <c r="B688" s="30">
        <f>IF(Database!B688="","",Database!B688)</f>
        <v/>
      </c>
      <c r="C688" s="87">
        <f>IF(Database!B688="","",Database!A688)</f>
        <v/>
      </c>
      <c r="D688" s="30">
        <f>IF(Database!B688="","",Database!D688)</f>
        <v/>
      </c>
      <c r="E688" s="30">
        <f>IF(Database!B688="","",Database!E688)</f>
        <v/>
      </c>
      <c r="F688" s="30">
        <f>IF(Database!B688="","",Database!F688)</f>
        <v/>
      </c>
      <c r="G688" s="30">
        <f>IF(Database!B688="","",Database!G688)</f>
        <v/>
      </c>
      <c r="H688" s="30">
        <f>IF(Database!B688="","",Database!C688)</f>
        <v/>
      </c>
      <c r="I688" s="30">
        <f>IF(Database!B688="","",Database!H688)</f>
        <v/>
      </c>
      <c r="J688" s="31" t="n"/>
      <c r="K688" s="88" t="n"/>
      <c r="L688" s="31" t="n"/>
      <c r="M688" s="31" t="n"/>
      <c r="N688" s="31" t="n"/>
      <c r="O688" s="32" t="n"/>
    </row>
    <row r="689">
      <c r="A689" s="30">
        <f>IF(Database!B689="","",ROW()-1)</f>
        <v/>
      </c>
      <c r="B689" s="30">
        <f>IF(Database!B689="","",Database!B689)</f>
        <v/>
      </c>
      <c r="C689" s="87">
        <f>IF(Database!B689="","",Database!A689)</f>
        <v/>
      </c>
      <c r="D689" s="30">
        <f>IF(Database!B689="","",Database!D689)</f>
        <v/>
      </c>
      <c r="E689" s="30">
        <f>IF(Database!B689="","",Database!E689)</f>
        <v/>
      </c>
      <c r="F689" s="30">
        <f>IF(Database!B689="","",Database!F689)</f>
        <v/>
      </c>
      <c r="G689" s="30">
        <f>IF(Database!B689="","",Database!G689)</f>
        <v/>
      </c>
      <c r="H689" s="30">
        <f>IF(Database!B689="","",Database!C689)</f>
        <v/>
      </c>
      <c r="I689" s="30">
        <f>IF(Database!B689="","",Database!H689)</f>
        <v/>
      </c>
      <c r="J689" s="31" t="n"/>
      <c r="K689" s="88" t="n"/>
      <c r="L689" s="31" t="n"/>
      <c r="M689" s="31" t="n"/>
      <c r="N689" s="31" t="n"/>
      <c r="O689" s="32" t="n"/>
    </row>
    <row r="690">
      <c r="A690" s="30">
        <f>IF(Database!B690="","",ROW()-1)</f>
        <v/>
      </c>
      <c r="B690" s="30">
        <f>IF(Database!B690="","",Database!B690)</f>
        <v/>
      </c>
      <c r="C690" s="87">
        <f>IF(Database!B690="","",Database!A690)</f>
        <v/>
      </c>
      <c r="D690" s="30">
        <f>IF(Database!B690="","",Database!D690)</f>
        <v/>
      </c>
      <c r="E690" s="30">
        <f>IF(Database!B690="","",Database!E690)</f>
        <v/>
      </c>
      <c r="F690" s="30">
        <f>IF(Database!B690="","",Database!F690)</f>
        <v/>
      </c>
      <c r="G690" s="30">
        <f>IF(Database!B690="","",Database!G690)</f>
        <v/>
      </c>
      <c r="H690" s="30">
        <f>IF(Database!B690="","",Database!C690)</f>
        <v/>
      </c>
      <c r="I690" s="30">
        <f>IF(Database!B690="","",Database!H690)</f>
        <v/>
      </c>
      <c r="J690" s="31" t="n"/>
      <c r="K690" s="88" t="n"/>
      <c r="L690" s="31" t="n"/>
      <c r="M690" s="31" t="n"/>
      <c r="N690" s="31" t="n"/>
      <c r="O690" s="32" t="n"/>
    </row>
    <row r="691">
      <c r="A691" s="30">
        <f>IF(Database!B691="","",ROW()-1)</f>
        <v/>
      </c>
      <c r="B691" s="30">
        <f>IF(Database!B691="","",Database!B691)</f>
        <v/>
      </c>
      <c r="C691" s="87">
        <f>IF(Database!B691="","",Database!A691)</f>
        <v/>
      </c>
      <c r="D691" s="30">
        <f>IF(Database!B691="","",Database!D691)</f>
        <v/>
      </c>
      <c r="E691" s="30">
        <f>IF(Database!B691="","",Database!E691)</f>
        <v/>
      </c>
      <c r="F691" s="30">
        <f>IF(Database!B691="","",Database!F691)</f>
        <v/>
      </c>
      <c r="G691" s="30">
        <f>IF(Database!B691="","",Database!G691)</f>
        <v/>
      </c>
      <c r="H691" s="30">
        <f>IF(Database!B691="","",Database!C691)</f>
        <v/>
      </c>
      <c r="I691" s="30">
        <f>IF(Database!B691="","",Database!H691)</f>
        <v/>
      </c>
      <c r="J691" s="31" t="n"/>
      <c r="K691" s="88" t="n"/>
      <c r="L691" s="31" t="n"/>
      <c r="M691" s="31" t="n"/>
      <c r="N691" s="31" t="n"/>
      <c r="O691" s="32" t="n"/>
    </row>
    <row r="692">
      <c r="A692" s="30">
        <f>IF(Database!B692="","",ROW()-1)</f>
        <v/>
      </c>
      <c r="B692" s="30">
        <f>IF(Database!B692="","",Database!B692)</f>
        <v/>
      </c>
      <c r="C692" s="87">
        <f>IF(Database!B692="","",Database!A692)</f>
        <v/>
      </c>
      <c r="D692" s="30">
        <f>IF(Database!B692="","",Database!D692)</f>
        <v/>
      </c>
      <c r="E692" s="30">
        <f>IF(Database!B692="","",Database!E692)</f>
        <v/>
      </c>
      <c r="F692" s="30">
        <f>IF(Database!B692="","",Database!F692)</f>
        <v/>
      </c>
      <c r="G692" s="30">
        <f>IF(Database!B692="","",Database!G692)</f>
        <v/>
      </c>
      <c r="H692" s="30">
        <f>IF(Database!B692="","",Database!C692)</f>
        <v/>
      </c>
      <c r="I692" s="30">
        <f>IF(Database!B692="","",Database!H692)</f>
        <v/>
      </c>
      <c r="J692" s="31" t="n"/>
      <c r="K692" s="88" t="n"/>
      <c r="L692" s="31" t="n"/>
      <c r="M692" s="31" t="n"/>
      <c r="N692" s="31" t="n"/>
      <c r="O692" s="32" t="n"/>
    </row>
    <row r="693">
      <c r="A693" s="30">
        <f>IF(Database!B693="","",ROW()-1)</f>
        <v/>
      </c>
      <c r="B693" s="30">
        <f>IF(Database!B693="","",Database!B693)</f>
        <v/>
      </c>
      <c r="C693" s="87">
        <f>IF(Database!B693="","",Database!A693)</f>
        <v/>
      </c>
      <c r="D693" s="30">
        <f>IF(Database!B693="","",Database!D693)</f>
        <v/>
      </c>
      <c r="E693" s="30">
        <f>IF(Database!B693="","",Database!E693)</f>
        <v/>
      </c>
      <c r="F693" s="30">
        <f>IF(Database!B693="","",Database!F693)</f>
        <v/>
      </c>
      <c r="G693" s="30">
        <f>IF(Database!B693="","",Database!G693)</f>
        <v/>
      </c>
      <c r="H693" s="30">
        <f>IF(Database!B693="","",Database!C693)</f>
        <v/>
      </c>
      <c r="I693" s="30">
        <f>IF(Database!B693="","",Database!H693)</f>
        <v/>
      </c>
      <c r="J693" s="31" t="n"/>
      <c r="K693" s="88" t="n"/>
      <c r="L693" s="31" t="n"/>
      <c r="M693" s="31" t="n"/>
      <c r="N693" s="31" t="n"/>
      <c r="O693" s="32" t="n"/>
    </row>
    <row r="694">
      <c r="A694" s="30">
        <f>IF(Database!B694="","",ROW()-1)</f>
        <v/>
      </c>
      <c r="B694" s="30">
        <f>IF(Database!B694="","",Database!B694)</f>
        <v/>
      </c>
      <c r="C694" s="87">
        <f>IF(Database!B694="","",Database!A694)</f>
        <v/>
      </c>
      <c r="D694" s="30">
        <f>IF(Database!B694="","",Database!D694)</f>
        <v/>
      </c>
      <c r="E694" s="30">
        <f>IF(Database!B694="","",Database!E694)</f>
        <v/>
      </c>
      <c r="F694" s="30">
        <f>IF(Database!B694="","",Database!F694)</f>
        <v/>
      </c>
      <c r="G694" s="30">
        <f>IF(Database!B694="","",Database!G694)</f>
        <v/>
      </c>
      <c r="H694" s="30">
        <f>IF(Database!B694="","",Database!C694)</f>
        <v/>
      </c>
      <c r="I694" s="30">
        <f>IF(Database!B694="","",Database!H694)</f>
        <v/>
      </c>
      <c r="J694" s="31" t="n"/>
      <c r="K694" s="88" t="n"/>
      <c r="L694" s="31" t="n"/>
      <c r="M694" s="31" t="n"/>
      <c r="N694" s="31" t="n"/>
      <c r="O694" s="32" t="n"/>
    </row>
    <row r="695">
      <c r="A695" s="30">
        <f>IF(Database!B695="","",ROW()-1)</f>
        <v/>
      </c>
      <c r="B695" s="30">
        <f>IF(Database!B695="","",Database!B695)</f>
        <v/>
      </c>
      <c r="C695" s="87">
        <f>IF(Database!B695="","",Database!A695)</f>
        <v/>
      </c>
      <c r="D695" s="30">
        <f>IF(Database!B695="","",Database!D695)</f>
        <v/>
      </c>
      <c r="E695" s="30">
        <f>IF(Database!B695="","",Database!E695)</f>
        <v/>
      </c>
      <c r="F695" s="30">
        <f>IF(Database!B695="","",Database!F695)</f>
        <v/>
      </c>
      <c r="G695" s="30">
        <f>IF(Database!B695="","",Database!G695)</f>
        <v/>
      </c>
      <c r="H695" s="30">
        <f>IF(Database!B695="","",Database!C695)</f>
        <v/>
      </c>
      <c r="I695" s="30">
        <f>IF(Database!B695="","",Database!H695)</f>
        <v/>
      </c>
      <c r="J695" s="31" t="n"/>
      <c r="K695" s="88" t="n"/>
      <c r="L695" s="31" t="n"/>
      <c r="M695" s="31" t="n"/>
      <c r="N695" s="31" t="n"/>
      <c r="O695" s="32" t="n"/>
    </row>
    <row r="696">
      <c r="A696" s="30">
        <f>IF(Database!B696="","",ROW()-1)</f>
        <v/>
      </c>
      <c r="B696" s="30">
        <f>IF(Database!B696="","",Database!B696)</f>
        <v/>
      </c>
      <c r="C696" s="87">
        <f>IF(Database!B696="","",Database!A696)</f>
        <v/>
      </c>
      <c r="D696" s="30">
        <f>IF(Database!B696="","",Database!D696)</f>
        <v/>
      </c>
      <c r="E696" s="30">
        <f>IF(Database!B696="","",Database!E696)</f>
        <v/>
      </c>
      <c r="F696" s="30">
        <f>IF(Database!B696="","",Database!F696)</f>
        <v/>
      </c>
      <c r="G696" s="30">
        <f>IF(Database!B696="","",Database!G696)</f>
        <v/>
      </c>
      <c r="H696" s="30">
        <f>IF(Database!B696="","",Database!C696)</f>
        <v/>
      </c>
      <c r="I696" s="30">
        <f>IF(Database!B696="","",Database!H696)</f>
        <v/>
      </c>
      <c r="J696" s="31" t="n"/>
      <c r="K696" s="88" t="n"/>
      <c r="L696" s="31" t="n"/>
      <c r="M696" s="31" t="n"/>
      <c r="N696" s="31" t="n"/>
      <c r="O696" s="32" t="n"/>
    </row>
    <row r="697">
      <c r="A697" s="30">
        <f>IF(Database!B697="","",ROW()-1)</f>
        <v/>
      </c>
      <c r="B697" s="30">
        <f>IF(Database!B697="","",Database!B697)</f>
        <v/>
      </c>
      <c r="C697" s="87">
        <f>IF(Database!B697="","",Database!A697)</f>
        <v/>
      </c>
      <c r="D697" s="30">
        <f>IF(Database!B697="","",Database!D697)</f>
        <v/>
      </c>
      <c r="E697" s="30">
        <f>IF(Database!B697="","",Database!E697)</f>
        <v/>
      </c>
      <c r="F697" s="30">
        <f>IF(Database!B697="","",Database!F697)</f>
        <v/>
      </c>
      <c r="G697" s="30">
        <f>IF(Database!B697="","",Database!G697)</f>
        <v/>
      </c>
      <c r="H697" s="30">
        <f>IF(Database!B697="","",Database!C697)</f>
        <v/>
      </c>
      <c r="I697" s="30">
        <f>IF(Database!B697="","",Database!H697)</f>
        <v/>
      </c>
      <c r="J697" s="31" t="n"/>
      <c r="K697" s="88" t="n"/>
      <c r="L697" s="31" t="n"/>
      <c r="M697" s="31" t="n"/>
      <c r="N697" s="31" t="n"/>
      <c r="O697" s="32" t="n"/>
    </row>
    <row r="698">
      <c r="A698" s="30">
        <f>IF(Database!B698="","",ROW()-1)</f>
        <v/>
      </c>
      <c r="B698" s="30">
        <f>IF(Database!B698="","",Database!B698)</f>
        <v/>
      </c>
      <c r="C698" s="87">
        <f>IF(Database!B698="","",Database!A698)</f>
        <v/>
      </c>
      <c r="D698" s="30">
        <f>IF(Database!B698="","",Database!D698)</f>
        <v/>
      </c>
      <c r="E698" s="30">
        <f>IF(Database!B698="","",Database!E698)</f>
        <v/>
      </c>
      <c r="F698" s="30">
        <f>IF(Database!B698="","",Database!F698)</f>
        <v/>
      </c>
      <c r="G698" s="30">
        <f>IF(Database!B698="","",Database!G698)</f>
        <v/>
      </c>
      <c r="H698" s="30">
        <f>IF(Database!B698="","",Database!C698)</f>
        <v/>
      </c>
      <c r="I698" s="30">
        <f>IF(Database!B698="","",Database!H698)</f>
        <v/>
      </c>
      <c r="J698" s="31" t="n"/>
      <c r="K698" s="88" t="n"/>
      <c r="L698" s="31" t="n"/>
      <c r="M698" s="31" t="n"/>
      <c r="N698" s="31" t="n"/>
      <c r="O698" s="32" t="n"/>
    </row>
    <row r="699">
      <c r="A699" s="30">
        <f>IF(Database!B699="","",ROW()-1)</f>
        <v/>
      </c>
      <c r="B699" s="30">
        <f>IF(Database!B699="","",Database!B699)</f>
        <v/>
      </c>
      <c r="C699" s="87">
        <f>IF(Database!B699="","",Database!A699)</f>
        <v/>
      </c>
      <c r="D699" s="30">
        <f>IF(Database!B699="","",Database!D699)</f>
        <v/>
      </c>
      <c r="E699" s="30">
        <f>IF(Database!B699="","",Database!E699)</f>
        <v/>
      </c>
      <c r="F699" s="30">
        <f>IF(Database!B699="","",Database!F699)</f>
        <v/>
      </c>
      <c r="G699" s="30">
        <f>IF(Database!B699="","",Database!G699)</f>
        <v/>
      </c>
      <c r="H699" s="30">
        <f>IF(Database!B699="","",Database!C699)</f>
        <v/>
      </c>
      <c r="I699" s="30">
        <f>IF(Database!B699="","",Database!H699)</f>
        <v/>
      </c>
      <c r="J699" s="31" t="n"/>
      <c r="K699" s="88" t="n"/>
      <c r="L699" s="31" t="n"/>
      <c r="M699" s="31" t="n"/>
      <c r="N699" s="31" t="n"/>
      <c r="O699" s="32" t="n"/>
    </row>
    <row r="700">
      <c r="A700" s="30">
        <f>IF(Database!B700="","",ROW()-1)</f>
        <v/>
      </c>
      <c r="B700" s="30">
        <f>IF(Database!B700="","",Database!B700)</f>
        <v/>
      </c>
      <c r="C700" s="87">
        <f>IF(Database!B700="","",Database!A700)</f>
        <v/>
      </c>
      <c r="D700" s="30">
        <f>IF(Database!B700="","",Database!D700)</f>
        <v/>
      </c>
      <c r="E700" s="30">
        <f>IF(Database!B700="","",Database!E700)</f>
        <v/>
      </c>
      <c r="F700" s="30">
        <f>IF(Database!B700="","",Database!F700)</f>
        <v/>
      </c>
      <c r="G700" s="30">
        <f>IF(Database!B700="","",Database!G700)</f>
        <v/>
      </c>
      <c r="H700" s="30">
        <f>IF(Database!B700="","",Database!C700)</f>
        <v/>
      </c>
      <c r="I700" s="30">
        <f>IF(Database!B700="","",Database!H700)</f>
        <v/>
      </c>
      <c r="J700" s="31" t="n"/>
      <c r="K700" s="88" t="n"/>
      <c r="L700" s="31" t="n"/>
      <c r="M700" s="31" t="n"/>
      <c r="N700" s="31" t="n"/>
      <c r="O700" s="32" t="n"/>
    </row>
    <row r="701">
      <c r="A701" s="30">
        <f>IF(Database!B701="","",ROW()-1)</f>
        <v/>
      </c>
      <c r="B701" s="30">
        <f>IF(Database!B701="","",Database!B701)</f>
        <v/>
      </c>
      <c r="C701" s="87">
        <f>IF(Database!B701="","",Database!A701)</f>
        <v/>
      </c>
      <c r="D701" s="30">
        <f>IF(Database!B701="","",Database!D701)</f>
        <v/>
      </c>
      <c r="E701" s="30">
        <f>IF(Database!B701="","",Database!E701)</f>
        <v/>
      </c>
      <c r="F701" s="30">
        <f>IF(Database!B701="","",Database!F701)</f>
        <v/>
      </c>
      <c r="G701" s="30">
        <f>IF(Database!B701="","",Database!G701)</f>
        <v/>
      </c>
      <c r="H701" s="30">
        <f>IF(Database!B701="","",Database!C701)</f>
        <v/>
      </c>
      <c r="I701" s="30">
        <f>IF(Database!B701="","",Database!H701)</f>
        <v/>
      </c>
      <c r="J701" s="31" t="n"/>
      <c r="K701" s="88" t="n"/>
      <c r="L701" s="31" t="n"/>
      <c r="M701" s="31" t="n"/>
      <c r="N701" s="31" t="n"/>
      <c r="O701" s="32" t="n"/>
    </row>
    <row r="702">
      <c r="A702" s="30">
        <f>IF(Database!B702="","",ROW()-1)</f>
        <v/>
      </c>
      <c r="B702" s="30">
        <f>IF(Database!B702="","",Database!B702)</f>
        <v/>
      </c>
      <c r="C702" s="87">
        <f>IF(Database!B702="","",Database!A702)</f>
        <v/>
      </c>
      <c r="D702" s="30">
        <f>IF(Database!B702="","",Database!D702)</f>
        <v/>
      </c>
      <c r="E702" s="30">
        <f>IF(Database!B702="","",Database!E702)</f>
        <v/>
      </c>
      <c r="F702" s="30">
        <f>IF(Database!B702="","",Database!F702)</f>
        <v/>
      </c>
      <c r="G702" s="30">
        <f>IF(Database!B702="","",Database!G702)</f>
        <v/>
      </c>
      <c r="H702" s="30">
        <f>IF(Database!B702="","",Database!C702)</f>
        <v/>
      </c>
      <c r="I702" s="30">
        <f>IF(Database!B702="","",Database!H702)</f>
        <v/>
      </c>
      <c r="J702" s="31" t="n"/>
      <c r="K702" s="88" t="n"/>
      <c r="L702" s="31" t="n"/>
      <c r="M702" s="31" t="n"/>
      <c r="N702" s="31" t="n"/>
      <c r="O702" s="32" t="n"/>
    </row>
    <row r="703">
      <c r="A703" s="30">
        <f>IF(Database!B703="","",ROW()-1)</f>
        <v/>
      </c>
      <c r="B703" s="30">
        <f>IF(Database!B703="","",Database!B703)</f>
        <v/>
      </c>
      <c r="C703" s="87">
        <f>IF(Database!B703="","",Database!A703)</f>
        <v/>
      </c>
      <c r="D703" s="30">
        <f>IF(Database!B703="","",Database!D703)</f>
        <v/>
      </c>
      <c r="E703" s="30">
        <f>IF(Database!B703="","",Database!E703)</f>
        <v/>
      </c>
      <c r="F703" s="30">
        <f>IF(Database!B703="","",Database!F703)</f>
        <v/>
      </c>
      <c r="G703" s="30">
        <f>IF(Database!B703="","",Database!G703)</f>
        <v/>
      </c>
      <c r="H703" s="30">
        <f>IF(Database!B703="","",Database!C703)</f>
        <v/>
      </c>
      <c r="I703" s="30">
        <f>IF(Database!B703="","",Database!H703)</f>
        <v/>
      </c>
      <c r="J703" s="31" t="n"/>
      <c r="K703" s="88" t="n"/>
      <c r="L703" s="31" t="n"/>
      <c r="M703" s="31" t="n"/>
      <c r="N703" s="31" t="n"/>
      <c r="O703" s="32" t="n"/>
    </row>
    <row r="704">
      <c r="A704" s="30">
        <f>IF(Database!B704="","",ROW()-1)</f>
        <v/>
      </c>
      <c r="B704" s="30">
        <f>IF(Database!B704="","",Database!B704)</f>
        <v/>
      </c>
      <c r="C704" s="87">
        <f>IF(Database!B704="","",Database!A704)</f>
        <v/>
      </c>
      <c r="D704" s="30">
        <f>IF(Database!B704="","",Database!D704)</f>
        <v/>
      </c>
      <c r="E704" s="30">
        <f>IF(Database!B704="","",Database!E704)</f>
        <v/>
      </c>
      <c r="F704" s="30">
        <f>IF(Database!B704="","",Database!F704)</f>
        <v/>
      </c>
      <c r="G704" s="30">
        <f>IF(Database!B704="","",Database!G704)</f>
        <v/>
      </c>
      <c r="H704" s="30">
        <f>IF(Database!B704="","",Database!C704)</f>
        <v/>
      </c>
      <c r="I704" s="30">
        <f>IF(Database!B704="","",Database!H704)</f>
        <v/>
      </c>
      <c r="J704" s="31" t="n"/>
      <c r="K704" s="88" t="n"/>
      <c r="L704" s="31" t="n"/>
      <c r="M704" s="31" t="n"/>
      <c r="N704" s="31" t="n"/>
      <c r="O704" s="32" t="n"/>
    </row>
    <row r="705">
      <c r="A705" s="30">
        <f>IF(Database!B705="","",ROW()-1)</f>
        <v/>
      </c>
      <c r="B705" s="30">
        <f>IF(Database!B705="","",Database!B705)</f>
        <v/>
      </c>
      <c r="C705" s="87">
        <f>IF(Database!B705="","",Database!A705)</f>
        <v/>
      </c>
      <c r="D705" s="30">
        <f>IF(Database!B705="","",Database!D705)</f>
        <v/>
      </c>
      <c r="E705" s="30">
        <f>IF(Database!B705="","",Database!E705)</f>
        <v/>
      </c>
      <c r="F705" s="30">
        <f>IF(Database!B705="","",Database!F705)</f>
        <v/>
      </c>
      <c r="G705" s="30">
        <f>IF(Database!B705="","",Database!G705)</f>
        <v/>
      </c>
      <c r="H705" s="30">
        <f>IF(Database!B705="","",Database!C705)</f>
        <v/>
      </c>
      <c r="I705" s="30">
        <f>IF(Database!B705="","",Database!H705)</f>
        <v/>
      </c>
      <c r="J705" s="31" t="n"/>
      <c r="K705" s="88" t="n"/>
      <c r="L705" s="31" t="n"/>
      <c r="M705" s="31" t="n"/>
      <c r="N705" s="31" t="n"/>
      <c r="O705" s="32" t="n"/>
    </row>
    <row r="706">
      <c r="A706" s="30">
        <f>IF(Database!B706="","",ROW()-1)</f>
        <v/>
      </c>
      <c r="B706" s="30">
        <f>IF(Database!B706="","",Database!B706)</f>
        <v/>
      </c>
      <c r="C706" s="87">
        <f>IF(Database!B706="","",Database!A706)</f>
        <v/>
      </c>
      <c r="D706" s="30">
        <f>IF(Database!B706="","",Database!D706)</f>
        <v/>
      </c>
      <c r="E706" s="30">
        <f>IF(Database!B706="","",Database!E706)</f>
        <v/>
      </c>
      <c r="F706" s="30">
        <f>IF(Database!B706="","",Database!F706)</f>
        <v/>
      </c>
      <c r="G706" s="30">
        <f>IF(Database!B706="","",Database!G706)</f>
        <v/>
      </c>
      <c r="H706" s="30">
        <f>IF(Database!B706="","",Database!C706)</f>
        <v/>
      </c>
      <c r="I706" s="30">
        <f>IF(Database!B706="","",Database!H706)</f>
        <v/>
      </c>
      <c r="J706" s="31" t="n"/>
      <c r="K706" s="88" t="n"/>
      <c r="L706" s="31" t="n"/>
      <c r="M706" s="31" t="n"/>
      <c r="N706" s="31" t="n"/>
      <c r="O706" s="32" t="n"/>
    </row>
    <row r="707">
      <c r="A707" s="30">
        <f>IF(Database!B707="","",ROW()-1)</f>
        <v/>
      </c>
      <c r="B707" s="30">
        <f>IF(Database!B707="","",Database!B707)</f>
        <v/>
      </c>
      <c r="C707" s="87">
        <f>IF(Database!B707="","",Database!A707)</f>
        <v/>
      </c>
      <c r="D707" s="30">
        <f>IF(Database!B707="","",Database!D707)</f>
        <v/>
      </c>
      <c r="E707" s="30">
        <f>IF(Database!B707="","",Database!E707)</f>
        <v/>
      </c>
      <c r="F707" s="30">
        <f>IF(Database!B707="","",Database!F707)</f>
        <v/>
      </c>
      <c r="G707" s="30">
        <f>IF(Database!B707="","",Database!G707)</f>
        <v/>
      </c>
      <c r="H707" s="30">
        <f>IF(Database!B707="","",Database!C707)</f>
        <v/>
      </c>
      <c r="I707" s="30">
        <f>IF(Database!B707="","",Database!H707)</f>
        <v/>
      </c>
      <c r="J707" s="31" t="n"/>
      <c r="K707" s="88" t="n"/>
      <c r="L707" s="31" t="n"/>
      <c r="M707" s="31" t="n"/>
      <c r="N707" s="31" t="n"/>
      <c r="O707" s="32" t="n"/>
    </row>
    <row r="708">
      <c r="A708" s="30">
        <f>IF(Database!B708="","",ROW()-1)</f>
        <v/>
      </c>
      <c r="B708" s="30">
        <f>IF(Database!B708="","",Database!B708)</f>
        <v/>
      </c>
      <c r="C708" s="87">
        <f>IF(Database!B708="","",Database!A708)</f>
        <v/>
      </c>
      <c r="D708" s="30">
        <f>IF(Database!B708="","",Database!D708)</f>
        <v/>
      </c>
      <c r="E708" s="30">
        <f>IF(Database!B708="","",Database!E708)</f>
        <v/>
      </c>
      <c r="F708" s="30">
        <f>IF(Database!B708="","",Database!F708)</f>
        <v/>
      </c>
      <c r="G708" s="30">
        <f>IF(Database!B708="","",Database!G708)</f>
        <v/>
      </c>
      <c r="H708" s="30">
        <f>IF(Database!B708="","",Database!C708)</f>
        <v/>
      </c>
      <c r="I708" s="30">
        <f>IF(Database!B708="","",Database!H708)</f>
        <v/>
      </c>
      <c r="J708" s="31" t="n"/>
      <c r="K708" s="88" t="n"/>
      <c r="L708" s="31" t="n"/>
      <c r="M708" s="31" t="n"/>
      <c r="N708" s="31" t="n"/>
      <c r="O708" s="32" t="n"/>
    </row>
    <row r="709">
      <c r="A709" s="30">
        <f>IF(Database!B709="","",ROW()-1)</f>
        <v/>
      </c>
      <c r="B709" s="30">
        <f>IF(Database!B709="","",Database!B709)</f>
        <v/>
      </c>
      <c r="C709" s="87">
        <f>IF(Database!B709="","",Database!A709)</f>
        <v/>
      </c>
      <c r="D709" s="30">
        <f>IF(Database!B709="","",Database!D709)</f>
        <v/>
      </c>
      <c r="E709" s="30">
        <f>IF(Database!B709="","",Database!E709)</f>
        <v/>
      </c>
      <c r="F709" s="30">
        <f>IF(Database!B709="","",Database!F709)</f>
        <v/>
      </c>
      <c r="G709" s="30">
        <f>IF(Database!B709="","",Database!G709)</f>
        <v/>
      </c>
      <c r="H709" s="30">
        <f>IF(Database!B709="","",Database!C709)</f>
        <v/>
      </c>
      <c r="I709" s="30">
        <f>IF(Database!B709="","",Database!H709)</f>
        <v/>
      </c>
      <c r="J709" s="31" t="n"/>
      <c r="K709" s="88" t="n"/>
      <c r="L709" s="31" t="n"/>
      <c r="M709" s="31" t="n"/>
      <c r="N709" s="31" t="n"/>
      <c r="O709" s="32" t="n"/>
    </row>
    <row r="710">
      <c r="A710" s="30">
        <f>IF(Database!B710="","",ROW()-1)</f>
        <v/>
      </c>
      <c r="B710" s="30">
        <f>IF(Database!B710="","",Database!B710)</f>
        <v/>
      </c>
      <c r="C710" s="87">
        <f>IF(Database!B710="","",Database!A710)</f>
        <v/>
      </c>
      <c r="D710" s="30">
        <f>IF(Database!B710="","",Database!D710)</f>
        <v/>
      </c>
      <c r="E710" s="30">
        <f>IF(Database!B710="","",Database!E710)</f>
        <v/>
      </c>
      <c r="F710" s="30">
        <f>IF(Database!B710="","",Database!F710)</f>
        <v/>
      </c>
      <c r="G710" s="30">
        <f>IF(Database!B710="","",Database!G710)</f>
        <v/>
      </c>
      <c r="H710" s="30">
        <f>IF(Database!B710="","",Database!C710)</f>
        <v/>
      </c>
      <c r="I710" s="30">
        <f>IF(Database!B710="","",Database!H710)</f>
        <v/>
      </c>
      <c r="J710" s="31" t="n"/>
      <c r="K710" s="88" t="n"/>
      <c r="L710" s="31" t="n"/>
      <c r="M710" s="31" t="n"/>
      <c r="N710" s="31" t="n"/>
      <c r="O710" s="32" t="n"/>
    </row>
    <row r="711">
      <c r="A711" s="30">
        <f>IF(Database!B711="","",ROW()-1)</f>
        <v/>
      </c>
      <c r="B711" s="30">
        <f>IF(Database!B711="","",Database!B711)</f>
        <v/>
      </c>
      <c r="C711" s="87">
        <f>IF(Database!B711="","",Database!A711)</f>
        <v/>
      </c>
      <c r="D711" s="30">
        <f>IF(Database!B711="","",Database!D711)</f>
        <v/>
      </c>
      <c r="E711" s="30">
        <f>IF(Database!B711="","",Database!E711)</f>
        <v/>
      </c>
      <c r="F711" s="30">
        <f>IF(Database!B711="","",Database!F711)</f>
        <v/>
      </c>
      <c r="G711" s="30">
        <f>IF(Database!B711="","",Database!G711)</f>
        <v/>
      </c>
      <c r="H711" s="30">
        <f>IF(Database!B711="","",Database!C711)</f>
        <v/>
      </c>
      <c r="I711" s="30">
        <f>IF(Database!B711="","",Database!H711)</f>
        <v/>
      </c>
      <c r="J711" s="31" t="n"/>
      <c r="K711" s="88" t="n"/>
      <c r="L711" s="31" t="n"/>
      <c r="M711" s="31" t="n"/>
      <c r="N711" s="31" t="n"/>
      <c r="O711" s="32" t="n"/>
    </row>
    <row r="712">
      <c r="A712" s="30">
        <f>IF(Database!B712="","",ROW()-1)</f>
        <v/>
      </c>
      <c r="B712" s="30">
        <f>IF(Database!B712="","",Database!B712)</f>
        <v/>
      </c>
      <c r="C712" s="87">
        <f>IF(Database!B712="","",Database!A712)</f>
        <v/>
      </c>
      <c r="D712" s="30">
        <f>IF(Database!B712="","",Database!D712)</f>
        <v/>
      </c>
      <c r="E712" s="30">
        <f>IF(Database!B712="","",Database!E712)</f>
        <v/>
      </c>
      <c r="F712" s="30">
        <f>IF(Database!B712="","",Database!F712)</f>
        <v/>
      </c>
      <c r="G712" s="30">
        <f>IF(Database!B712="","",Database!G712)</f>
        <v/>
      </c>
      <c r="H712" s="30">
        <f>IF(Database!B712="","",Database!C712)</f>
        <v/>
      </c>
      <c r="I712" s="30">
        <f>IF(Database!B712="","",Database!H712)</f>
        <v/>
      </c>
      <c r="J712" s="31" t="n"/>
      <c r="K712" s="88" t="n"/>
      <c r="L712" s="31" t="n"/>
      <c r="M712" s="31" t="n"/>
      <c r="N712" s="31" t="n"/>
      <c r="O712" s="32" t="n"/>
    </row>
    <row r="713">
      <c r="A713" s="30">
        <f>IF(Database!B713="","",ROW()-1)</f>
        <v/>
      </c>
      <c r="B713" s="30">
        <f>IF(Database!B713="","",Database!B713)</f>
        <v/>
      </c>
      <c r="C713" s="87">
        <f>IF(Database!B713="","",Database!A713)</f>
        <v/>
      </c>
      <c r="D713" s="30">
        <f>IF(Database!B713="","",Database!D713)</f>
        <v/>
      </c>
      <c r="E713" s="30">
        <f>IF(Database!B713="","",Database!E713)</f>
        <v/>
      </c>
      <c r="F713" s="30">
        <f>IF(Database!B713="","",Database!F713)</f>
        <v/>
      </c>
      <c r="G713" s="30">
        <f>IF(Database!B713="","",Database!G713)</f>
        <v/>
      </c>
      <c r="H713" s="30">
        <f>IF(Database!B713="","",Database!C713)</f>
        <v/>
      </c>
      <c r="I713" s="30">
        <f>IF(Database!B713="","",Database!H713)</f>
        <v/>
      </c>
      <c r="J713" s="31" t="n"/>
      <c r="K713" s="88" t="n"/>
      <c r="L713" s="31" t="n"/>
      <c r="M713" s="31" t="n"/>
      <c r="N713" s="31" t="n"/>
      <c r="O713" s="32" t="n"/>
    </row>
    <row r="714">
      <c r="A714" s="30">
        <f>IF(Database!B714="","",ROW()-1)</f>
        <v/>
      </c>
      <c r="B714" s="30">
        <f>IF(Database!B714="","",Database!B714)</f>
        <v/>
      </c>
      <c r="C714" s="87">
        <f>IF(Database!B714="","",Database!A714)</f>
        <v/>
      </c>
      <c r="D714" s="30">
        <f>IF(Database!B714="","",Database!D714)</f>
        <v/>
      </c>
      <c r="E714" s="30">
        <f>IF(Database!B714="","",Database!E714)</f>
        <v/>
      </c>
      <c r="F714" s="30">
        <f>IF(Database!B714="","",Database!F714)</f>
        <v/>
      </c>
      <c r="G714" s="30">
        <f>IF(Database!B714="","",Database!G714)</f>
        <v/>
      </c>
      <c r="H714" s="30">
        <f>IF(Database!B714="","",Database!C714)</f>
        <v/>
      </c>
      <c r="I714" s="30">
        <f>IF(Database!B714="","",Database!H714)</f>
        <v/>
      </c>
      <c r="J714" s="31" t="n"/>
      <c r="K714" s="88" t="n"/>
      <c r="L714" s="31" t="n"/>
      <c r="M714" s="31" t="n"/>
      <c r="N714" s="31" t="n"/>
      <c r="O714" s="32" t="n"/>
    </row>
    <row r="715">
      <c r="A715" s="30">
        <f>IF(Database!B715="","",ROW()-1)</f>
        <v/>
      </c>
      <c r="B715" s="30">
        <f>IF(Database!B715="","",Database!B715)</f>
        <v/>
      </c>
      <c r="C715" s="87">
        <f>IF(Database!B715="","",Database!A715)</f>
        <v/>
      </c>
      <c r="D715" s="30">
        <f>IF(Database!B715="","",Database!D715)</f>
        <v/>
      </c>
      <c r="E715" s="30">
        <f>IF(Database!B715="","",Database!E715)</f>
        <v/>
      </c>
      <c r="F715" s="30">
        <f>IF(Database!B715="","",Database!F715)</f>
        <v/>
      </c>
      <c r="G715" s="30">
        <f>IF(Database!B715="","",Database!G715)</f>
        <v/>
      </c>
      <c r="H715" s="30">
        <f>IF(Database!B715="","",Database!C715)</f>
        <v/>
      </c>
      <c r="I715" s="30">
        <f>IF(Database!B715="","",Database!H715)</f>
        <v/>
      </c>
      <c r="J715" s="31" t="n"/>
      <c r="K715" s="88" t="n"/>
      <c r="L715" s="31" t="n"/>
      <c r="M715" s="31" t="n"/>
      <c r="N715" s="31" t="n"/>
      <c r="O715" s="32" t="n"/>
    </row>
    <row r="716">
      <c r="A716" s="30">
        <f>IF(Database!B716="","",ROW()-1)</f>
        <v/>
      </c>
      <c r="B716" s="30">
        <f>IF(Database!B716="","",Database!B716)</f>
        <v/>
      </c>
      <c r="C716" s="87">
        <f>IF(Database!B716="","",Database!A716)</f>
        <v/>
      </c>
      <c r="D716" s="30">
        <f>IF(Database!B716="","",Database!D716)</f>
        <v/>
      </c>
      <c r="E716" s="30">
        <f>IF(Database!B716="","",Database!E716)</f>
        <v/>
      </c>
      <c r="F716" s="30">
        <f>IF(Database!B716="","",Database!F716)</f>
        <v/>
      </c>
      <c r="G716" s="30">
        <f>IF(Database!B716="","",Database!G716)</f>
        <v/>
      </c>
      <c r="H716" s="30">
        <f>IF(Database!B716="","",Database!C716)</f>
        <v/>
      </c>
      <c r="I716" s="30">
        <f>IF(Database!B716="","",Database!H716)</f>
        <v/>
      </c>
      <c r="J716" s="31" t="n"/>
      <c r="K716" s="88" t="n"/>
      <c r="L716" s="31" t="n"/>
      <c r="M716" s="31" t="n"/>
      <c r="N716" s="31" t="n"/>
      <c r="O716" s="32" t="n"/>
    </row>
    <row r="717">
      <c r="A717" s="30">
        <f>IF(Database!B717="","",ROW()-1)</f>
        <v/>
      </c>
      <c r="B717" s="30">
        <f>IF(Database!B717="","",Database!B717)</f>
        <v/>
      </c>
      <c r="C717" s="87">
        <f>IF(Database!B717="","",Database!A717)</f>
        <v/>
      </c>
      <c r="D717" s="30">
        <f>IF(Database!B717="","",Database!D717)</f>
        <v/>
      </c>
      <c r="E717" s="30">
        <f>IF(Database!B717="","",Database!E717)</f>
        <v/>
      </c>
      <c r="F717" s="30">
        <f>IF(Database!B717="","",Database!F717)</f>
        <v/>
      </c>
      <c r="G717" s="30">
        <f>IF(Database!B717="","",Database!G717)</f>
        <v/>
      </c>
      <c r="H717" s="30">
        <f>IF(Database!B717="","",Database!C717)</f>
        <v/>
      </c>
      <c r="I717" s="30">
        <f>IF(Database!B717="","",Database!H717)</f>
        <v/>
      </c>
      <c r="J717" s="31" t="n"/>
      <c r="K717" s="88" t="n"/>
      <c r="L717" s="31" t="n"/>
      <c r="M717" s="31" t="n"/>
      <c r="N717" s="31" t="n"/>
      <c r="O717" s="32" t="n"/>
    </row>
    <row r="718">
      <c r="A718" s="30">
        <f>IF(Database!B718="","",ROW()-1)</f>
        <v/>
      </c>
      <c r="B718" s="30">
        <f>IF(Database!B718="","",Database!B718)</f>
        <v/>
      </c>
      <c r="C718" s="87">
        <f>IF(Database!B718="","",Database!A718)</f>
        <v/>
      </c>
      <c r="D718" s="30">
        <f>IF(Database!B718="","",Database!D718)</f>
        <v/>
      </c>
      <c r="E718" s="30">
        <f>IF(Database!B718="","",Database!E718)</f>
        <v/>
      </c>
      <c r="F718" s="30">
        <f>IF(Database!B718="","",Database!F718)</f>
        <v/>
      </c>
      <c r="G718" s="30">
        <f>IF(Database!B718="","",Database!G718)</f>
        <v/>
      </c>
      <c r="H718" s="30">
        <f>IF(Database!B718="","",Database!C718)</f>
        <v/>
      </c>
      <c r="I718" s="30">
        <f>IF(Database!B718="","",Database!H718)</f>
        <v/>
      </c>
      <c r="J718" s="31" t="n"/>
      <c r="K718" s="88" t="n"/>
      <c r="L718" s="31" t="n"/>
      <c r="M718" s="31" t="n"/>
      <c r="N718" s="31" t="n"/>
      <c r="O718" s="32" t="n"/>
    </row>
    <row r="719">
      <c r="A719" s="30">
        <f>IF(Database!B719="","",ROW()-1)</f>
        <v/>
      </c>
      <c r="B719" s="30">
        <f>IF(Database!B719="","",Database!B719)</f>
        <v/>
      </c>
      <c r="C719" s="87">
        <f>IF(Database!B719="","",Database!A719)</f>
        <v/>
      </c>
      <c r="D719" s="30">
        <f>IF(Database!B719="","",Database!D719)</f>
        <v/>
      </c>
      <c r="E719" s="30">
        <f>IF(Database!B719="","",Database!E719)</f>
        <v/>
      </c>
      <c r="F719" s="30">
        <f>IF(Database!B719="","",Database!F719)</f>
        <v/>
      </c>
      <c r="G719" s="30">
        <f>IF(Database!B719="","",Database!G719)</f>
        <v/>
      </c>
      <c r="H719" s="30">
        <f>IF(Database!B719="","",Database!C719)</f>
        <v/>
      </c>
      <c r="I719" s="30">
        <f>IF(Database!B719="","",Database!H719)</f>
        <v/>
      </c>
      <c r="J719" s="31" t="n"/>
      <c r="K719" s="88" t="n"/>
      <c r="L719" s="31" t="n"/>
      <c r="M719" s="31" t="n"/>
      <c r="N719" s="31" t="n"/>
      <c r="O719" s="32" t="n"/>
    </row>
    <row r="720">
      <c r="A720" s="30">
        <f>IF(Database!B720="","",ROW()-1)</f>
        <v/>
      </c>
      <c r="B720" s="30">
        <f>IF(Database!B720="","",Database!B720)</f>
        <v/>
      </c>
      <c r="C720" s="87">
        <f>IF(Database!B720="","",Database!A720)</f>
        <v/>
      </c>
      <c r="D720" s="30">
        <f>IF(Database!B720="","",Database!D720)</f>
        <v/>
      </c>
      <c r="E720" s="30">
        <f>IF(Database!B720="","",Database!E720)</f>
        <v/>
      </c>
      <c r="F720" s="30">
        <f>IF(Database!B720="","",Database!F720)</f>
        <v/>
      </c>
      <c r="G720" s="30">
        <f>IF(Database!B720="","",Database!G720)</f>
        <v/>
      </c>
      <c r="H720" s="30">
        <f>IF(Database!B720="","",Database!C720)</f>
        <v/>
      </c>
      <c r="I720" s="30">
        <f>IF(Database!B720="","",Database!H720)</f>
        <v/>
      </c>
      <c r="J720" s="31" t="n"/>
      <c r="K720" s="88" t="n"/>
      <c r="L720" s="31" t="n"/>
      <c r="M720" s="31" t="n"/>
      <c r="N720" s="31" t="n"/>
      <c r="O720" s="32" t="n"/>
    </row>
    <row r="721">
      <c r="A721" s="30">
        <f>IF(Database!B721="","",ROW()-1)</f>
        <v/>
      </c>
      <c r="B721" s="30">
        <f>IF(Database!B721="","",Database!B721)</f>
        <v/>
      </c>
      <c r="C721" s="87">
        <f>IF(Database!B721="","",Database!A721)</f>
        <v/>
      </c>
      <c r="D721" s="30">
        <f>IF(Database!B721="","",Database!D721)</f>
        <v/>
      </c>
      <c r="E721" s="30">
        <f>IF(Database!B721="","",Database!E721)</f>
        <v/>
      </c>
      <c r="F721" s="30">
        <f>IF(Database!B721="","",Database!F721)</f>
        <v/>
      </c>
      <c r="G721" s="30">
        <f>IF(Database!B721="","",Database!G721)</f>
        <v/>
      </c>
      <c r="H721" s="30">
        <f>IF(Database!B721="","",Database!C721)</f>
        <v/>
      </c>
      <c r="I721" s="30">
        <f>IF(Database!B721="","",Database!H721)</f>
        <v/>
      </c>
      <c r="J721" s="31" t="n"/>
      <c r="K721" s="88" t="n"/>
      <c r="L721" s="31" t="n"/>
      <c r="M721" s="31" t="n"/>
      <c r="N721" s="31" t="n"/>
      <c r="O721" s="32" t="n"/>
    </row>
    <row r="722">
      <c r="A722" s="30">
        <f>IF(Database!B722="","",ROW()-1)</f>
        <v/>
      </c>
      <c r="B722" s="30">
        <f>IF(Database!B722="","",Database!B722)</f>
        <v/>
      </c>
      <c r="C722" s="87">
        <f>IF(Database!B722="","",Database!A722)</f>
        <v/>
      </c>
      <c r="D722" s="30">
        <f>IF(Database!B722="","",Database!D722)</f>
        <v/>
      </c>
      <c r="E722" s="30">
        <f>IF(Database!B722="","",Database!E722)</f>
        <v/>
      </c>
      <c r="F722" s="30">
        <f>IF(Database!B722="","",Database!F722)</f>
        <v/>
      </c>
      <c r="G722" s="30">
        <f>IF(Database!B722="","",Database!G722)</f>
        <v/>
      </c>
      <c r="H722" s="30">
        <f>IF(Database!B722="","",Database!C722)</f>
        <v/>
      </c>
      <c r="I722" s="30">
        <f>IF(Database!B722="","",Database!H722)</f>
        <v/>
      </c>
      <c r="J722" s="31" t="n"/>
      <c r="K722" s="88" t="n"/>
      <c r="L722" s="31" t="n"/>
      <c r="M722" s="31" t="n"/>
      <c r="N722" s="31" t="n"/>
      <c r="O722" s="32" t="n"/>
    </row>
    <row r="723">
      <c r="A723" s="30">
        <f>IF(Database!B723="","",ROW()-1)</f>
        <v/>
      </c>
      <c r="B723" s="30">
        <f>IF(Database!B723="","",Database!B723)</f>
        <v/>
      </c>
      <c r="C723" s="87">
        <f>IF(Database!B723="","",Database!A723)</f>
        <v/>
      </c>
      <c r="D723" s="30">
        <f>IF(Database!B723="","",Database!D723)</f>
        <v/>
      </c>
      <c r="E723" s="30">
        <f>IF(Database!B723="","",Database!E723)</f>
        <v/>
      </c>
      <c r="F723" s="30">
        <f>IF(Database!B723="","",Database!F723)</f>
        <v/>
      </c>
      <c r="G723" s="30">
        <f>IF(Database!B723="","",Database!G723)</f>
        <v/>
      </c>
      <c r="H723" s="30">
        <f>IF(Database!B723="","",Database!C723)</f>
        <v/>
      </c>
      <c r="I723" s="30">
        <f>IF(Database!B723="","",Database!H723)</f>
        <v/>
      </c>
      <c r="J723" s="31" t="n"/>
      <c r="K723" s="88" t="n"/>
      <c r="L723" s="31" t="n"/>
      <c r="M723" s="31" t="n"/>
      <c r="N723" s="31" t="n"/>
      <c r="O723" s="32" t="n"/>
    </row>
    <row r="724">
      <c r="A724" s="30">
        <f>IF(Database!B724="","",ROW()-1)</f>
        <v/>
      </c>
      <c r="B724" s="30">
        <f>IF(Database!B724="","",Database!B724)</f>
        <v/>
      </c>
      <c r="C724" s="87">
        <f>IF(Database!B724="","",Database!A724)</f>
        <v/>
      </c>
      <c r="D724" s="30">
        <f>IF(Database!B724="","",Database!D724)</f>
        <v/>
      </c>
      <c r="E724" s="30">
        <f>IF(Database!B724="","",Database!E724)</f>
        <v/>
      </c>
      <c r="F724" s="30">
        <f>IF(Database!B724="","",Database!F724)</f>
        <v/>
      </c>
      <c r="G724" s="30">
        <f>IF(Database!B724="","",Database!G724)</f>
        <v/>
      </c>
      <c r="H724" s="30">
        <f>IF(Database!B724="","",Database!C724)</f>
        <v/>
      </c>
      <c r="I724" s="30">
        <f>IF(Database!B724="","",Database!H724)</f>
        <v/>
      </c>
      <c r="J724" s="31" t="n"/>
      <c r="K724" s="88" t="n"/>
      <c r="L724" s="31" t="n"/>
      <c r="M724" s="31" t="n"/>
      <c r="N724" s="31" t="n"/>
      <c r="O724" s="32" t="n"/>
    </row>
    <row r="725">
      <c r="A725" s="30">
        <f>IF(Database!B725="","",ROW()-1)</f>
        <v/>
      </c>
      <c r="B725" s="30">
        <f>IF(Database!B725="","",Database!B725)</f>
        <v/>
      </c>
      <c r="C725" s="87">
        <f>IF(Database!B725="","",Database!A725)</f>
        <v/>
      </c>
      <c r="D725" s="30">
        <f>IF(Database!B725="","",Database!D725)</f>
        <v/>
      </c>
      <c r="E725" s="30">
        <f>IF(Database!B725="","",Database!E725)</f>
        <v/>
      </c>
      <c r="F725" s="30">
        <f>IF(Database!B725="","",Database!F725)</f>
        <v/>
      </c>
      <c r="G725" s="30">
        <f>IF(Database!B725="","",Database!G725)</f>
        <v/>
      </c>
      <c r="H725" s="30">
        <f>IF(Database!B725="","",Database!C725)</f>
        <v/>
      </c>
      <c r="I725" s="30">
        <f>IF(Database!B725="","",Database!H725)</f>
        <v/>
      </c>
      <c r="J725" s="31" t="n"/>
      <c r="K725" s="88" t="n"/>
      <c r="L725" s="31" t="n"/>
      <c r="M725" s="31" t="n"/>
      <c r="N725" s="31" t="n"/>
      <c r="O725" s="32" t="n"/>
    </row>
    <row r="726">
      <c r="A726" s="30">
        <f>IF(Database!B726="","",ROW()-1)</f>
        <v/>
      </c>
      <c r="B726" s="30">
        <f>IF(Database!B726="","",Database!B726)</f>
        <v/>
      </c>
      <c r="C726" s="87">
        <f>IF(Database!B726="","",Database!A726)</f>
        <v/>
      </c>
      <c r="D726" s="30">
        <f>IF(Database!B726="","",Database!D726)</f>
        <v/>
      </c>
      <c r="E726" s="30">
        <f>IF(Database!B726="","",Database!E726)</f>
        <v/>
      </c>
      <c r="F726" s="30">
        <f>IF(Database!B726="","",Database!F726)</f>
        <v/>
      </c>
      <c r="G726" s="30">
        <f>IF(Database!B726="","",Database!G726)</f>
        <v/>
      </c>
      <c r="H726" s="30">
        <f>IF(Database!B726="","",Database!C726)</f>
        <v/>
      </c>
      <c r="I726" s="30">
        <f>IF(Database!B726="","",Database!H726)</f>
        <v/>
      </c>
      <c r="J726" s="31" t="n"/>
      <c r="K726" s="88" t="n"/>
      <c r="L726" s="31" t="n"/>
      <c r="M726" s="31" t="n"/>
      <c r="N726" s="31" t="n"/>
      <c r="O726" s="32" t="n"/>
    </row>
    <row r="727">
      <c r="A727" s="30">
        <f>IF(Database!B727="","",ROW()-1)</f>
        <v/>
      </c>
      <c r="B727" s="30">
        <f>IF(Database!B727="","",Database!B727)</f>
        <v/>
      </c>
      <c r="C727" s="87">
        <f>IF(Database!B727="","",Database!A727)</f>
        <v/>
      </c>
      <c r="D727" s="30">
        <f>IF(Database!B727="","",Database!D727)</f>
        <v/>
      </c>
      <c r="E727" s="30">
        <f>IF(Database!B727="","",Database!E727)</f>
        <v/>
      </c>
      <c r="F727" s="30">
        <f>IF(Database!B727="","",Database!F727)</f>
        <v/>
      </c>
      <c r="G727" s="30">
        <f>IF(Database!B727="","",Database!G727)</f>
        <v/>
      </c>
      <c r="H727" s="30">
        <f>IF(Database!B727="","",Database!C727)</f>
        <v/>
      </c>
      <c r="I727" s="30">
        <f>IF(Database!B727="","",Database!H727)</f>
        <v/>
      </c>
      <c r="J727" s="31" t="n"/>
      <c r="K727" s="88" t="n"/>
      <c r="L727" s="31" t="n"/>
      <c r="M727" s="31" t="n"/>
      <c r="N727" s="31" t="n"/>
      <c r="O727" s="32" t="n"/>
    </row>
    <row r="728">
      <c r="A728" s="30">
        <f>IF(Database!B728="","",ROW()-1)</f>
        <v/>
      </c>
      <c r="B728" s="30">
        <f>IF(Database!B728="","",Database!B728)</f>
        <v/>
      </c>
      <c r="C728" s="87">
        <f>IF(Database!B728="","",Database!A728)</f>
        <v/>
      </c>
      <c r="D728" s="30">
        <f>IF(Database!B728="","",Database!D728)</f>
        <v/>
      </c>
      <c r="E728" s="30">
        <f>IF(Database!B728="","",Database!E728)</f>
        <v/>
      </c>
      <c r="F728" s="30">
        <f>IF(Database!B728="","",Database!F728)</f>
        <v/>
      </c>
      <c r="G728" s="30">
        <f>IF(Database!B728="","",Database!G728)</f>
        <v/>
      </c>
      <c r="H728" s="30">
        <f>IF(Database!B728="","",Database!C728)</f>
        <v/>
      </c>
      <c r="I728" s="30">
        <f>IF(Database!B728="","",Database!H728)</f>
        <v/>
      </c>
      <c r="J728" s="31" t="n"/>
      <c r="K728" s="88" t="n"/>
      <c r="L728" s="31" t="n"/>
      <c r="M728" s="31" t="n"/>
      <c r="N728" s="31" t="n"/>
      <c r="O728" s="32" t="n"/>
    </row>
    <row r="729">
      <c r="A729" s="30">
        <f>IF(Database!B729="","",ROW()-1)</f>
        <v/>
      </c>
      <c r="B729" s="30">
        <f>IF(Database!B729="","",Database!B729)</f>
        <v/>
      </c>
      <c r="C729" s="87">
        <f>IF(Database!B729="","",Database!A729)</f>
        <v/>
      </c>
      <c r="D729" s="30">
        <f>IF(Database!B729="","",Database!D729)</f>
        <v/>
      </c>
      <c r="E729" s="30">
        <f>IF(Database!B729="","",Database!E729)</f>
        <v/>
      </c>
      <c r="F729" s="30">
        <f>IF(Database!B729="","",Database!F729)</f>
        <v/>
      </c>
      <c r="G729" s="30">
        <f>IF(Database!B729="","",Database!G729)</f>
        <v/>
      </c>
      <c r="H729" s="30">
        <f>IF(Database!B729="","",Database!C729)</f>
        <v/>
      </c>
      <c r="I729" s="30">
        <f>IF(Database!B729="","",Database!H729)</f>
        <v/>
      </c>
      <c r="J729" s="31" t="n"/>
      <c r="K729" s="88" t="n"/>
      <c r="L729" s="31" t="n"/>
      <c r="M729" s="31" t="n"/>
      <c r="N729" s="31" t="n"/>
      <c r="O729" s="32" t="n"/>
    </row>
    <row r="730">
      <c r="A730" s="30">
        <f>IF(Database!B730="","",ROW()-1)</f>
        <v/>
      </c>
      <c r="B730" s="30">
        <f>IF(Database!B730="","",Database!B730)</f>
        <v/>
      </c>
      <c r="C730" s="87">
        <f>IF(Database!B730="","",Database!A730)</f>
        <v/>
      </c>
      <c r="D730" s="30">
        <f>IF(Database!B730="","",Database!D730)</f>
        <v/>
      </c>
      <c r="E730" s="30">
        <f>IF(Database!B730="","",Database!E730)</f>
        <v/>
      </c>
      <c r="F730" s="30">
        <f>IF(Database!B730="","",Database!F730)</f>
        <v/>
      </c>
      <c r="G730" s="30">
        <f>IF(Database!B730="","",Database!G730)</f>
        <v/>
      </c>
      <c r="H730" s="30">
        <f>IF(Database!B730="","",Database!C730)</f>
        <v/>
      </c>
      <c r="I730" s="30">
        <f>IF(Database!B730="","",Database!H730)</f>
        <v/>
      </c>
      <c r="J730" s="31" t="n"/>
      <c r="K730" s="88" t="n"/>
      <c r="L730" s="31" t="n"/>
      <c r="M730" s="31" t="n"/>
      <c r="N730" s="31" t="n"/>
      <c r="O730" s="32" t="n"/>
    </row>
    <row r="731">
      <c r="A731" s="30">
        <f>IF(Database!B731="","",ROW()-1)</f>
        <v/>
      </c>
      <c r="B731" s="30">
        <f>IF(Database!B731="","",Database!B731)</f>
        <v/>
      </c>
      <c r="C731" s="87">
        <f>IF(Database!B731="","",Database!A731)</f>
        <v/>
      </c>
      <c r="D731" s="30">
        <f>IF(Database!B731="","",Database!D731)</f>
        <v/>
      </c>
      <c r="E731" s="30">
        <f>IF(Database!B731="","",Database!E731)</f>
        <v/>
      </c>
      <c r="F731" s="30">
        <f>IF(Database!B731="","",Database!F731)</f>
        <v/>
      </c>
      <c r="G731" s="30">
        <f>IF(Database!B731="","",Database!G731)</f>
        <v/>
      </c>
      <c r="H731" s="30">
        <f>IF(Database!B731="","",Database!C731)</f>
        <v/>
      </c>
      <c r="I731" s="30">
        <f>IF(Database!B731="","",Database!H731)</f>
        <v/>
      </c>
      <c r="J731" s="31" t="n"/>
      <c r="K731" s="88" t="n"/>
      <c r="L731" s="31" t="n"/>
      <c r="M731" s="31" t="n"/>
      <c r="N731" s="31" t="n"/>
      <c r="O731" s="32" t="n"/>
    </row>
    <row r="732">
      <c r="A732" s="30">
        <f>IF(Database!B732="","",ROW()-1)</f>
        <v/>
      </c>
      <c r="B732" s="30">
        <f>IF(Database!B732="","",Database!B732)</f>
        <v/>
      </c>
      <c r="C732" s="87">
        <f>IF(Database!B732="","",Database!A732)</f>
        <v/>
      </c>
      <c r="D732" s="30">
        <f>IF(Database!B732="","",Database!D732)</f>
        <v/>
      </c>
      <c r="E732" s="30">
        <f>IF(Database!B732="","",Database!E732)</f>
        <v/>
      </c>
      <c r="F732" s="30">
        <f>IF(Database!B732="","",Database!F732)</f>
        <v/>
      </c>
      <c r="G732" s="30">
        <f>IF(Database!B732="","",Database!G732)</f>
        <v/>
      </c>
      <c r="H732" s="30">
        <f>IF(Database!B732="","",Database!C732)</f>
        <v/>
      </c>
      <c r="I732" s="30">
        <f>IF(Database!B732="","",Database!H732)</f>
        <v/>
      </c>
      <c r="J732" s="31" t="n"/>
      <c r="K732" s="88" t="n"/>
      <c r="L732" s="31" t="n"/>
      <c r="M732" s="31" t="n"/>
      <c r="N732" s="31" t="n"/>
      <c r="O732" s="32" t="n"/>
    </row>
    <row r="733">
      <c r="A733" s="30">
        <f>IF(Database!B733="","",ROW()-1)</f>
        <v/>
      </c>
      <c r="B733" s="30">
        <f>IF(Database!B733="","",Database!B733)</f>
        <v/>
      </c>
      <c r="C733" s="87">
        <f>IF(Database!B733="","",Database!A733)</f>
        <v/>
      </c>
      <c r="D733" s="30">
        <f>IF(Database!B733="","",Database!D733)</f>
        <v/>
      </c>
      <c r="E733" s="30">
        <f>IF(Database!B733="","",Database!E733)</f>
        <v/>
      </c>
      <c r="F733" s="30">
        <f>IF(Database!B733="","",Database!F733)</f>
        <v/>
      </c>
      <c r="G733" s="30">
        <f>IF(Database!B733="","",Database!G733)</f>
        <v/>
      </c>
      <c r="H733" s="30">
        <f>IF(Database!B733="","",Database!C733)</f>
        <v/>
      </c>
      <c r="I733" s="30">
        <f>IF(Database!B733="","",Database!H733)</f>
        <v/>
      </c>
      <c r="J733" s="31" t="n"/>
      <c r="K733" s="88" t="n"/>
      <c r="L733" s="31" t="n"/>
      <c r="M733" s="31" t="n"/>
      <c r="N733" s="31" t="n"/>
      <c r="O733" s="32" t="n"/>
    </row>
    <row r="734">
      <c r="A734" s="30">
        <f>IF(Database!B734="","",ROW()-1)</f>
        <v/>
      </c>
      <c r="B734" s="30">
        <f>IF(Database!B734="","",Database!B734)</f>
        <v/>
      </c>
      <c r="C734" s="87">
        <f>IF(Database!B734="","",Database!A734)</f>
        <v/>
      </c>
      <c r="D734" s="30">
        <f>IF(Database!B734="","",Database!D734)</f>
        <v/>
      </c>
      <c r="E734" s="30">
        <f>IF(Database!B734="","",Database!E734)</f>
        <v/>
      </c>
      <c r="F734" s="30">
        <f>IF(Database!B734="","",Database!F734)</f>
        <v/>
      </c>
      <c r="G734" s="30">
        <f>IF(Database!B734="","",Database!G734)</f>
        <v/>
      </c>
      <c r="H734" s="30">
        <f>IF(Database!B734="","",Database!C734)</f>
        <v/>
      </c>
      <c r="I734" s="30">
        <f>IF(Database!B734="","",Database!H734)</f>
        <v/>
      </c>
      <c r="J734" s="31" t="n"/>
      <c r="K734" s="88" t="n"/>
      <c r="L734" s="31" t="n"/>
      <c r="M734" s="31" t="n"/>
      <c r="N734" s="31" t="n"/>
      <c r="O734" s="32" t="n"/>
    </row>
    <row r="735">
      <c r="A735" s="30">
        <f>IF(Database!B735="","",ROW()-1)</f>
        <v/>
      </c>
      <c r="B735" s="30">
        <f>IF(Database!B735="","",Database!B735)</f>
        <v/>
      </c>
      <c r="C735" s="87">
        <f>IF(Database!B735="","",Database!A735)</f>
        <v/>
      </c>
      <c r="D735" s="30">
        <f>IF(Database!B735="","",Database!D735)</f>
        <v/>
      </c>
      <c r="E735" s="30">
        <f>IF(Database!B735="","",Database!E735)</f>
        <v/>
      </c>
      <c r="F735" s="30">
        <f>IF(Database!B735="","",Database!F735)</f>
        <v/>
      </c>
      <c r="G735" s="30">
        <f>IF(Database!B735="","",Database!G735)</f>
        <v/>
      </c>
      <c r="H735" s="30">
        <f>IF(Database!B735="","",Database!C735)</f>
        <v/>
      </c>
      <c r="I735" s="30">
        <f>IF(Database!B735="","",Database!H735)</f>
        <v/>
      </c>
      <c r="J735" s="31" t="n"/>
      <c r="K735" s="88" t="n"/>
      <c r="L735" s="31" t="n"/>
      <c r="M735" s="31" t="n"/>
      <c r="N735" s="31" t="n"/>
      <c r="O735" s="32" t="n"/>
    </row>
    <row r="736">
      <c r="A736" s="30">
        <f>IF(Database!B736="","",ROW()-1)</f>
        <v/>
      </c>
      <c r="B736" s="30">
        <f>IF(Database!B736="","",Database!B736)</f>
        <v/>
      </c>
      <c r="C736" s="87">
        <f>IF(Database!B736="","",Database!A736)</f>
        <v/>
      </c>
      <c r="D736" s="30">
        <f>IF(Database!B736="","",Database!D736)</f>
        <v/>
      </c>
      <c r="E736" s="30">
        <f>IF(Database!B736="","",Database!E736)</f>
        <v/>
      </c>
      <c r="F736" s="30">
        <f>IF(Database!B736="","",Database!F736)</f>
        <v/>
      </c>
      <c r="G736" s="30">
        <f>IF(Database!B736="","",Database!G736)</f>
        <v/>
      </c>
      <c r="H736" s="30">
        <f>IF(Database!B736="","",Database!C736)</f>
        <v/>
      </c>
      <c r="I736" s="30">
        <f>IF(Database!B736="","",Database!H736)</f>
        <v/>
      </c>
      <c r="J736" s="31" t="n"/>
      <c r="K736" s="88" t="n"/>
      <c r="L736" s="31" t="n"/>
      <c r="M736" s="31" t="n"/>
      <c r="N736" s="31" t="n"/>
      <c r="O736" s="32" t="n"/>
    </row>
    <row r="737">
      <c r="A737" s="30">
        <f>IF(Database!B737="","",ROW()-1)</f>
        <v/>
      </c>
      <c r="B737" s="30">
        <f>IF(Database!B737="","",Database!B737)</f>
        <v/>
      </c>
      <c r="C737" s="87">
        <f>IF(Database!B737="","",Database!A737)</f>
        <v/>
      </c>
      <c r="D737" s="30">
        <f>IF(Database!B737="","",Database!D737)</f>
        <v/>
      </c>
      <c r="E737" s="30">
        <f>IF(Database!B737="","",Database!E737)</f>
        <v/>
      </c>
      <c r="F737" s="30">
        <f>IF(Database!B737="","",Database!F737)</f>
        <v/>
      </c>
      <c r="G737" s="30">
        <f>IF(Database!B737="","",Database!G737)</f>
        <v/>
      </c>
      <c r="H737" s="30">
        <f>IF(Database!B737="","",Database!C737)</f>
        <v/>
      </c>
      <c r="I737" s="30">
        <f>IF(Database!B737="","",Database!H737)</f>
        <v/>
      </c>
      <c r="J737" s="31" t="n"/>
      <c r="K737" s="88" t="n"/>
      <c r="L737" s="31" t="n"/>
      <c r="M737" s="31" t="n"/>
      <c r="N737" s="31" t="n"/>
      <c r="O737" s="32" t="n"/>
    </row>
    <row r="738">
      <c r="A738" s="30">
        <f>IF(Database!B738="","",ROW()-1)</f>
        <v/>
      </c>
      <c r="B738" s="30">
        <f>IF(Database!B738="","",Database!B738)</f>
        <v/>
      </c>
      <c r="C738" s="87">
        <f>IF(Database!B738="","",Database!A738)</f>
        <v/>
      </c>
      <c r="D738" s="30">
        <f>IF(Database!B738="","",Database!D738)</f>
        <v/>
      </c>
      <c r="E738" s="30">
        <f>IF(Database!B738="","",Database!E738)</f>
        <v/>
      </c>
      <c r="F738" s="30">
        <f>IF(Database!B738="","",Database!F738)</f>
        <v/>
      </c>
      <c r="G738" s="30">
        <f>IF(Database!B738="","",Database!G738)</f>
        <v/>
      </c>
      <c r="H738" s="30">
        <f>IF(Database!B738="","",Database!C738)</f>
        <v/>
      </c>
      <c r="I738" s="30">
        <f>IF(Database!B738="","",Database!H738)</f>
        <v/>
      </c>
      <c r="J738" s="31" t="n"/>
      <c r="K738" s="88" t="n"/>
      <c r="L738" s="31" t="n"/>
      <c r="M738" s="31" t="n"/>
      <c r="N738" s="31" t="n"/>
      <c r="O738" s="32" t="n"/>
    </row>
    <row r="739">
      <c r="A739" s="30">
        <f>IF(Database!B739="","",ROW()-1)</f>
        <v/>
      </c>
      <c r="B739" s="30">
        <f>IF(Database!B739="","",Database!B739)</f>
        <v/>
      </c>
      <c r="C739" s="87">
        <f>IF(Database!B739="","",Database!A739)</f>
        <v/>
      </c>
      <c r="D739" s="30">
        <f>IF(Database!B739="","",Database!D739)</f>
        <v/>
      </c>
      <c r="E739" s="30">
        <f>IF(Database!B739="","",Database!E739)</f>
        <v/>
      </c>
      <c r="F739" s="30">
        <f>IF(Database!B739="","",Database!F739)</f>
        <v/>
      </c>
      <c r="G739" s="30">
        <f>IF(Database!B739="","",Database!G739)</f>
        <v/>
      </c>
      <c r="H739" s="30">
        <f>IF(Database!B739="","",Database!C739)</f>
        <v/>
      </c>
      <c r="I739" s="30">
        <f>IF(Database!B739="","",Database!H739)</f>
        <v/>
      </c>
      <c r="J739" s="31" t="n"/>
      <c r="K739" s="88" t="n"/>
      <c r="L739" s="31" t="n"/>
      <c r="M739" s="31" t="n"/>
      <c r="N739" s="31" t="n"/>
      <c r="O739" s="32" t="n"/>
    </row>
    <row r="740">
      <c r="A740" s="30">
        <f>IF(Database!B740="","",ROW()-1)</f>
        <v/>
      </c>
      <c r="B740" s="30">
        <f>IF(Database!B740="","",Database!B740)</f>
        <v/>
      </c>
      <c r="C740" s="87">
        <f>IF(Database!B740="","",Database!A740)</f>
        <v/>
      </c>
      <c r="D740" s="30">
        <f>IF(Database!B740="","",Database!D740)</f>
        <v/>
      </c>
      <c r="E740" s="30">
        <f>IF(Database!B740="","",Database!E740)</f>
        <v/>
      </c>
      <c r="F740" s="30">
        <f>IF(Database!B740="","",Database!F740)</f>
        <v/>
      </c>
      <c r="G740" s="30">
        <f>IF(Database!B740="","",Database!G740)</f>
        <v/>
      </c>
      <c r="H740" s="30">
        <f>IF(Database!B740="","",Database!C740)</f>
        <v/>
      </c>
      <c r="I740" s="30">
        <f>IF(Database!B740="","",Database!H740)</f>
        <v/>
      </c>
      <c r="J740" s="31" t="n"/>
      <c r="K740" s="88" t="n"/>
      <c r="L740" s="31" t="n"/>
      <c r="M740" s="31" t="n"/>
      <c r="N740" s="31" t="n"/>
      <c r="O740" s="32" t="n"/>
    </row>
    <row r="741">
      <c r="A741" s="30">
        <f>IF(Database!B741="","",ROW()-1)</f>
        <v/>
      </c>
      <c r="B741" s="30">
        <f>IF(Database!B741="","",Database!B741)</f>
        <v/>
      </c>
      <c r="C741" s="87">
        <f>IF(Database!B741="","",Database!A741)</f>
        <v/>
      </c>
      <c r="D741" s="30">
        <f>IF(Database!B741="","",Database!D741)</f>
        <v/>
      </c>
      <c r="E741" s="30">
        <f>IF(Database!B741="","",Database!E741)</f>
        <v/>
      </c>
      <c r="F741" s="30">
        <f>IF(Database!B741="","",Database!F741)</f>
        <v/>
      </c>
      <c r="G741" s="30">
        <f>IF(Database!B741="","",Database!G741)</f>
        <v/>
      </c>
      <c r="H741" s="30">
        <f>IF(Database!B741="","",Database!C741)</f>
        <v/>
      </c>
      <c r="I741" s="30">
        <f>IF(Database!B741="","",Database!H741)</f>
        <v/>
      </c>
      <c r="J741" s="31" t="n"/>
      <c r="K741" s="88" t="n"/>
      <c r="L741" s="31" t="n"/>
      <c r="M741" s="31" t="n"/>
      <c r="N741" s="31" t="n"/>
      <c r="O741" s="32" t="n"/>
    </row>
    <row r="742">
      <c r="A742" s="30">
        <f>IF(Database!B742="","",ROW()-1)</f>
        <v/>
      </c>
      <c r="B742" s="30">
        <f>IF(Database!B742="","",Database!B742)</f>
        <v/>
      </c>
      <c r="C742" s="87">
        <f>IF(Database!B742="","",Database!A742)</f>
        <v/>
      </c>
      <c r="D742" s="30">
        <f>IF(Database!B742="","",Database!D742)</f>
        <v/>
      </c>
      <c r="E742" s="30">
        <f>IF(Database!B742="","",Database!E742)</f>
        <v/>
      </c>
      <c r="F742" s="30">
        <f>IF(Database!B742="","",Database!F742)</f>
        <v/>
      </c>
      <c r="G742" s="30">
        <f>IF(Database!B742="","",Database!G742)</f>
        <v/>
      </c>
      <c r="H742" s="30">
        <f>IF(Database!B742="","",Database!C742)</f>
        <v/>
      </c>
      <c r="I742" s="30">
        <f>IF(Database!B742="","",Database!H742)</f>
        <v/>
      </c>
      <c r="J742" s="31" t="n"/>
      <c r="K742" s="88" t="n"/>
      <c r="L742" s="31" t="n"/>
      <c r="M742" s="31" t="n"/>
      <c r="N742" s="31" t="n"/>
      <c r="O742" s="32" t="n"/>
    </row>
    <row r="743">
      <c r="A743" s="30">
        <f>IF(Database!B743="","",ROW()-1)</f>
        <v/>
      </c>
      <c r="B743" s="30">
        <f>IF(Database!B743="","",Database!B743)</f>
        <v/>
      </c>
      <c r="C743" s="87">
        <f>IF(Database!B743="","",Database!A743)</f>
        <v/>
      </c>
      <c r="D743" s="30">
        <f>IF(Database!B743="","",Database!D743)</f>
        <v/>
      </c>
      <c r="E743" s="30">
        <f>IF(Database!B743="","",Database!E743)</f>
        <v/>
      </c>
      <c r="F743" s="30">
        <f>IF(Database!B743="","",Database!F743)</f>
        <v/>
      </c>
      <c r="G743" s="30">
        <f>IF(Database!B743="","",Database!G743)</f>
        <v/>
      </c>
      <c r="H743" s="30">
        <f>IF(Database!B743="","",Database!C743)</f>
        <v/>
      </c>
      <c r="I743" s="30">
        <f>IF(Database!B743="","",Database!H743)</f>
        <v/>
      </c>
      <c r="J743" s="31" t="n"/>
      <c r="K743" s="88" t="n"/>
      <c r="L743" s="31" t="n"/>
      <c r="M743" s="31" t="n"/>
      <c r="N743" s="31" t="n"/>
      <c r="O743" s="32" t="n"/>
    </row>
    <row r="744">
      <c r="A744" s="30">
        <f>IF(Database!B744="","",ROW()-1)</f>
        <v/>
      </c>
      <c r="B744" s="30">
        <f>IF(Database!B744="","",Database!B744)</f>
        <v/>
      </c>
      <c r="C744" s="87">
        <f>IF(Database!B744="","",Database!A744)</f>
        <v/>
      </c>
      <c r="D744" s="30">
        <f>IF(Database!B744="","",Database!D744)</f>
        <v/>
      </c>
      <c r="E744" s="30">
        <f>IF(Database!B744="","",Database!E744)</f>
        <v/>
      </c>
      <c r="F744" s="30">
        <f>IF(Database!B744="","",Database!F744)</f>
        <v/>
      </c>
      <c r="G744" s="30">
        <f>IF(Database!B744="","",Database!G744)</f>
        <v/>
      </c>
      <c r="H744" s="30">
        <f>IF(Database!B744="","",Database!C744)</f>
        <v/>
      </c>
      <c r="I744" s="30">
        <f>IF(Database!B744="","",Database!H744)</f>
        <v/>
      </c>
      <c r="J744" s="31" t="n"/>
      <c r="K744" s="88" t="n"/>
      <c r="L744" s="31" t="n"/>
      <c r="M744" s="31" t="n"/>
      <c r="N744" s="31" t="n"/>
      <c r="O744" s="32" t="n"/>
    </row>
    <row r="745">
      <c r="A745" s="30">
        <f>IF(Database!B745="","",ROW()-1)</f>
        <v/>
      </c>
      <c r="B745" s="30">
        <f>IF(Database!B745="","",Database!B745)</f>
        <v/>
      </c>
      <c r="C745" s="87">
        <f>IF(Database!B745="","",Database!A745)</f>
        <v/>
      </c>
      <c r="D745" s="30">
        <f>IF(Database!B745="","",Database!D745)</f>
        <v/>
      </c>
      <c r="E745" s="30">
        <f>IF(Database!B745="","",Database!E745)</f>
        <v/>
      </c>
      <c r="F745" s="30">
        <f>IF(Database!B745="","",Database!F745)</f>
        <v/>
      </c>
      <c r="G745" s="30">
        <f>IF(Database!B745="","",Database!G745)</f>
        <v/>
      </c>
      <c r="H745" s="30">
        <f>IF(Database!B745="","",Database!C745)</f>
        <v/>
      </c>
      <c r="I745" s="30">
        <f>IF(Database!B745="","",Database!H745)</f>
        <v/>
      </c>
      <c r="J745" s="31" t="n"/>
      <c r="K745" s="88" t="n"/>
      <c r="L745" s="31" t="n"/>
      <c r="M745" s="31" t="n"/>
      <c r="N745" s="31" t="n"/>
      <c r="O745" s="32" t="n"/>
    </row>
    <row r="746">
      <c r="A746" s="30">
        <f>IF(Database!B746="","",ROW()-1)</f>
        <v/>
      </c>
      <c r="B746" s="30">
        <f>IF(Database!B746="","",Database!B746)</f>
        <v/>
      </c>
      <c r="C746" s="87">
        <f>IF(Database!B746="","",Database!A746)</f>
        <v/>
      </c>
      <c r="D746" s="30">
        <f>IF(Database!B746="","",Database!D746)</f>
        <v/>
      </c>
      <c r="E746" s="30">
        <f>IF(Database!B746="","",Database!E746)</f>
        <v/>
      </c>
      <c r="F746" s="30">
        <f>IF(Database!B746="","",Database!F746)</f>
        <v/>
      </c>
      <c r="G746" s="30">
        <f>IF(Database!B746="","",Database!G746)</f>
        <v/>
      </c>
      <c r="H746" s="30">
        <f>IF(Database!B746="","",Database!C746)</f>
        <v/>
      </c>
      <c r="I746" s="30">
        <f>IF(Database!B746="","",Database!H746)</f>
        <v/>
      </c>
      <c r="J746" s="31" t="n"/>
      <c r="K746" s="88" t="n"/>
      <c r="L746" s="31" t="n"/>
      <c r="M746" s="31" t="n"/>
      <c r="N746" s="31" t="n"/>
      <c r="O746" s="32" t="n"/>
    </row>
    <row r="747">
      <c r="A747" s="30">
        <f>IF(Database!B747="","",ROW()-1)</f>
        <v/>
      </c>
      <c r="B747" s="30">
        <f>IF(Database!B747="","",Database!B747)</f>
        <v/>
      </c>
      <c r="C747" s="87">
        <f>IF(Database!B747="","",Database!A747)</f>
        <v/>
      </c>
      <c r="D747" s="30">
        <f>IF(Database!B747="","",Database!D747)</f>
        <v/>
      </c>
      <c r="E747" s="30">
        <f>IF(Database!B747="","",Database!E747)</f>
        <v/>
      </c>
      <c r="F747" s="30">
        <f>IF(Database!B747="","",Database!F747)</f>
        <v/>
      </c>
      <c r="G747" s="30">
        <f>IF(Database!B747="","",Database!G747)</f>
        <v/>
      </c>
      <c r="H747" s="30">
        <f>IF(Database!B747="","",Database!C747)</f>
        <v/>
      </c>
      <c r="I747" s="30">
        <f>IF(Database!B747="","",Database!H747)</f>
        <v/>
      </c>
      <c r="J747" s="31" t="n"/>
      <c r="K747" s="88" t="n"/>
      <c r="L747" s="31" t="n"/>
      <c r="M747" s="31" t="n"/>
      <c r="N747" s="31" t="n"/>
      <c r="O747" s="32" t="n"/>
    </row>
    <row r="748">
      <c r="A748" s="30">
        <f>IF(Database!B748="","",ROW()-1)</f>
        <v/>
      </c>
      <c r="B748" s="30">
        <f>IF(Database!B748="","",Database!B748)</f>
        <v/>
      </c>
      <c r="C748" s="87">
        <f>IF(Database!B748="","",Database!A748)</f>
        <v/>
      </c>
      <c r="D748" s="30">
        <f>IF(Database!B748="","",Database!D748)</f>
        <v/>
      </c>
      <c r="E748" s="30">
        <f>IF(Database!B748="","",Database!E748)</f>
        <v/>
      </c>
      <c r="F748" s="30">
        <f>IF(Database!B748="","",Database!F748)</f>
        <v/>
      </c>
      <c r="G748" s="30">
        <f>IF(Database!B748="","",Database!G748)</f>
        <v/>
      </c>
      <c r="H748" s="30">
        <f>IF(Database!B748="","",Database!C748)</f>
        <v/>
      </c>
      <c r="I748" s="30">
        <f>IF(Database!B748="","",Database!H748)</f>
        <v/>
      </c>
      <c r="J748" s="31" t="n"/>
      <c r="K748" s="88" t="n"/>
      <c r="L748" s="31" t="n"/>
      <c r="M748" s="31" t="n"/>
      <c r="N748" s="31" t="n"/>
      <c r="O748" s="32" t="n"/>
    </row>
    <row r="749">
      <c r="A749" s="30">
        <f>IF(Database!B749="","",ROW()-1)</f>
        <v/>
      </c>
      <c r="B749" s="30">
        <f>IF(Database!B749="","",Database!B749)</f>
        <v/>
      </c>
      <c r="C749" s="87">
        <f>IF(Database!B749="","",Database!A749)</f>
        <v/>
      </c>
      <c r="D749" s="30">
        <f>IF(Database!B749="","",Database!D749)</f>
        <v/>
      </c>
      <c r="E749" s="30">
        <f>IF(Database!B749="","",Database!E749)</f>
        <v/>
      </c>
      <c r="F749" s="30">
        <f>IF(Database!B749="","",Database!F749)</f>
        <v/>
      </c>
      <c r="G749" s="30">
        <f>IF(Database!B749="","",Database!G749)</f>
        <v/>
      </c>
      <c r="H749" s="30">
        <f>IF(Database!B749="","",Database!C749)</f>
        <v/>
      </c>
      <c r="I749" s="30">
        <f>IF(Database!B749="","",Database!H749)</f>
        <v/>
      </c>
      <c r="J749" s="31" t="n"/>
      <c r="K749" s="88" t="n"/>
      <c r="L749" s="31" t="n"/>
      <c r="M749" s="31" t="n"/>
      <c r="N749" s="31" t="n"/>
      <c r="O749" s="32" t="n"/>
    </row>
    <row r="750">
      <c r="A750" s="30">
        <f>IF(Database!B750="","",ROW()-1)</f>
        <v/>
      </c>
      <c r="B750" s="30">
        <f>IF(Database!B750="","",Database!B750)</f>
        <v/>
      </c>
      <c r="C750" s="87">
        <f>IF(Database!B750="","",Database!A750)</f>
        <v/>
      </c>
      <c r="D750" s="30">
        <f>IF(Database!B750="","",Database!D750)</f>
        <v/>
      </c>
      <c r="E750" s="30">
        <f>IF(Database!B750="","",Database!E750)</f>
        <v/>
      </c>
      <c r="F750" s="30">
        <f>IF(Database!B750="","",Database!F750)</f>
        <v/>
      </c>
      <c r="G750" s="30">
        <f>IF(Database!B750="","",Database!G750)</f>
        <v/>
      </c>
      <c r="H750" s="30">
        <f>IF(Database!B750="","",Database!C750)</f>
        <v/>
      </c>
      <c r="I750" s="30">
        <f>IF(Database!B750="","",Database!H750)</f>
        <v/>
      </c>
      <c r="J750" s="31" t="n"/>
      <c r="K750" s="88" t="n"/>
      <c r="L750" s="31" t="n"/>
      <c r="M750" s="31" t="n"/>
      <c r="N750" s="31" t="n"/>
      <c r="O750" s="32" t="n"/>
    </row>
    <row r="751">
      <c r="A751" s="30">
        <f>IF(Database!B751="","",ROW()-1)</f>
        <v/>
      </c>
      <c r="B751" s="30">
        <f>IF(Database!B751="","",Database!B751)</f>
        <v/>
      </c>
      <c r="C751" s="87">
        <f>IF(Database!B751="","",Database!A751)</f>
        <v/>
      </c>
      <c r="D751" s="30">
        <f>IF(Database!B751="","",Database!D751)</f>
        <v/>
      </c>
      <c r="E751" s="30">
        <f>IF(Database!B751="","",Database!E751)</f>
        <v/>
      </c>
      <c r="F751" s="30">
        <f>IF(Database!B751="","",Database!F751)</f>
        <v/>
      </c>
      <c r="G751" s="30">
        <f>IF(Database!B751="","",Database!G751)</f>
        <v/>
      </c>
      <c r="H751" s="30">
        <f>IF(Database!B751="","",Database!C751)</f>
        <v/>
      </c>
      <c r="I751" s="30">
        <f>IF(Database!B751="","",Database!H751)</f>
        <v/>
      </c>
      <c r="J751" s="31" t="n"/>
      <c r="K751" s="88" t="n"/>
      <c r="L751" s="31" t="n"/>
      <c r="M751" s="31" t="n"/>
      <c r="N751" s="31" t="n"/>
      <c r="O751" s="32" t="n"/>
    </row>
    <row r="752">
      <c r="A752" s="30">
        <f>IF(Database!B752="","",ROW()-1)</f>
        <v/>
      </c>
      <c r="B752" s="30">
        <f>IF(Database!B752="","",Database!B752)</f>
        <v/>
      </c>
      <c r="C752" s="87">
        <f>IF(Database!B752="","",Database!A752)</f>
        <v/>
      </c>
      <c r="D752" s="30">
        <f>IF(Database!B752="","",Database!D752)</f>
        <v/>
      </c>
      <c r="E752" s="30">
        <f>IF(Database!B752="","",Database!E752)</f>
        <v/>
      </c>
      <c r="F752" s="30">
        <f>IF(Database!B752="","",Database!F752)</f>
        <v/>
      </c>
      <c r="G752" s="30">
        <f>IF(Database!B752="","",Database!G752)</f>
        <v/>
      </c>
      <c r="H752" s="30">
        <f>IF(Database!B752="","",Database!C752)</f>
        <v/>
      </c>
      <c r="I752" s="30">
        <f>IF(Database!B752="","",Database!H752)</f>
        <v/>
      </c>
      <c r="J752" s="31" t="n"/>
      <c r="K752" s="88" t="n"/>
      <c r="L752" s="31" t="n"/>
      <c r="M752" s="31" t="n"/>
      <c r="N752" s="31" t="n"/>
      <c r="O752" s="32" t="n"/>
    </row>
    <row r="753">
      <c r="A753" s="30">
        <f>IF(Database!B753="","",ROW()-1)</f>
        <v/>
      </c>
      <c r="B753" s="30">
        <f>IF(Database!B753="","",Database!B753)</f>
        <v/>
      </c>
      <c r="C753" s="87">
        <f>IF(Database!B753="","",Database!A753)</f>
        <v/>
      </c>
      <c r="D753" s="30">
        <f>IF(Database!B753="","",Database!D753)</f>
        <v/>
      </c>
      <c r="E753" s="30">
        <f>IF(Database!B753="","",Database!E753)</f>
        <v/>
      </c>
      <c r="F753" s="30">
        <f>IF(Database!B753="","",Database!F753)</f>
        <v/>
      </c>
      <c r="G753" s="30">
        <f>IF(Database!B753="","",Database!G753)</f>
        <v/>
      </c>
      <c r="H753" s="30">
        <f>IF(Database!B753="","",Database!C753)</f>
        <v/>
      </c>
      <c r="I753" s="30">
        <f>IF(Database!B753="","",Database!H753)</f>
        <v/>
      </c>
      <c r="J753" s="31" t="n"/>
      <c r="K753" s="88" t="n"/>
      <c r="L753" s="31" t="n"/>
      <c r="M753" s="31" t="n"/>
      <c r="N753" s="31" t="n"/>
      <c r="O753" s="32" t="n"/>
    </row>
    <row r="754">
      <c r="A754" s="30">
        <f>IF(Database!B754="","",ROW()-1)</f>
        <v/>
      </c>
      <c r="B754" s="30">
        <f>IF(Database!B754="","",Database!B754)</f>
        <v/>
      </c>
      <c r="C754" s="87">
        <f>IF(Database!B754="","",Database!A754)</f>
        <v/>
      </c>
      <c r="D754" s="30">
        <f>IF(Database!B754="","",Database!D754)</f>
        <v/>
      </c>
      <c r="E754" s="30">
        <f>IF(Database!B754="","",Database!E754)</f>
        <v/>
      </c>
      <c r="F754" s="30">
        <f>IF(Database!B754="","",Database!F754)</f>
        <v/>
      </c>
      <c r="G754" s="30">
        <f>IF(Database!B754="","",Database!G754)</f>
        <v/>
      </c>
      <c r="H754" s="30">
        <f>IF(Database!B754="","",Database!C754)</f>
        <v/>
      </c>
      <c r="I754" s="30">
        <f>IF(Database!B754="","",Database!H754)</f>
        <v/>
      </c>
      <c r="J754" s="31" t="n"/>
      <c r="K754" s="88" t="n"/>
      <c r="L754" s="31" t="n"/>
      <c r="M754" s="31" t="n"/>
      <c r="N754" s="31" t="n"/>
      <c r="O754" s="32" t="n"/>
    </row>
    <row r="755">
      <c r="A755" s="30">
        <f>IF(Database!B755="","",ROW()-1)</f>
        <v/>
      </c>
      <c r="B755" s="30">
        <f>IF(Database!B755="","",Database!B755)</f>
        <v/>
      </c>
      <c r="C755" s="87">
        <f>IF(Database!B755="","",Database!A755)</f>
        <v/>
      </c>
      <c r="D755" s="30">
        <f>IF(Database!B755="","",Database!D755)</f>
        <v/>
      </c>
      <c r="E755" s="30">
        <f>IF(Database!B755="","",Database!E755)</f>
        <v/>
      </c>
      <c r="F755" s="30">
        <f>IF(Database!B755="","",Database!F755)</f>
        <v/>
      </c>
      <c r="G755" s="30">
        <f>IF(Database!B755="","",Database!G755)</f>
        <v/>
      </c>
      <c r="H755" s="30">
        <f>IF(Database!B755="","",Database!C755)</f>
        <v/>
      </c>
      <c r="I755" s="30">
        <f>IF(Database!B755="","",Database!H755)</f>
        <v/>
      </c>
      <c r="J755" s="31" t="n"/>
      <c r="K755" s="88" t="n"/>
      <c r="L755" s="31" t="n"/>
      <c r="M755" s="31" t="n"/>
      <c r="N755" s="31" t="n"/>
      <c r="O755" s="32" t="n"/>
    </row>
    <row r="756">
      <c r="A756" s="30">
        <f>IF(Database!B756="","",ROW()-1)</f>
        <v/>
      </c>
      <c r="B756" s="30">
        <f>IF(Database!B756="","",Database!B756)</f>
        <v/>
      </c>
      <c r="C756" s="87">
        <f>IF(Database!B756="","",Database!A756)</f>
        <v/>
      </c>
      <c r="D756" s="30">
        <f>IF(Database!B756="","",Database!D756)</f>
        <v/>
      </c>
      <c r="E756" s="30">
        <f>IF(Database!B756="","",Database!E756)</f>
        <v/>
      </c>
      <c r="F756" s="30">
        <f>IF(Database!B756="","",Database!F756)</f>
        <v/>
      </c>
      <c r="G756" s="30">
        <f>IF(Database!B756="","",Database!G756)</f>
        <v/>
      </c>
      <c r="H756" s="30">
        <f>IF(Database!B756="","",Database!C756)</f>
        <v/>
      </c>
      <c r="I756" s="30">
        <f>IF(Database!B756="","",Database!H756)</f>
        <v/>
      </c>
      <c r="J756" s="31" t="n"/>
      <c r="K756" s="88" t="n"/>
      <c r="L756" s="31" t="n"/>
      <c r="M756" s="31" t="n"/>
      <c r="N756" s="31" t="n"/>
      <c r="O756" s="32" t="n"/>
    </row>
    <row r="757">
      <c r="A757" s="30">
        <f>IF(Database!B757="","",ROW()-1)</f>
        <v/>
      </c>
      <c r="B757" s="30">
        <f>IF(Database!B757="","",Database!B757)</f>
        <v/>
      </c>
      <c r="C757" s="87">
        <f>IF(Database!B757="","",Database!A757)</f>
        <v/>
      </c>
      <c r="D757" s="30">
        <f>IF(Database!B757="","",Database!D757)</f>
        <v/>
      </c>
      <c r="E757" s="30">
        <f>IF(Database!B757="","",Database!E757)</f>
        <v/>
      </c>
      <c r="F757" s="30">
        <f>IF(Database!B757="","",Database!F757)</f>
        <v/>
      </c>
      <c r="G757" s="30">
        <f>IF(Database!B757="","",Database!G757)</f>
        <v/>
      </c>
      <c r="H757" s="30">
        <f>IF(Database!B757="","",Database!C757)</f>
        <v/>
      </c>
      <c r="I757" s="30">
        <f>IF(Database!B757="","",Database!H757)</f>
        <v/>
      </c>
      <c r="J757" s="31" t="n"/>
      <c r="K757" s="88" t="n"/>
      <c r="L757" s="31" t="n"/>
      <c r="M757" s="31" t="n"/>
      <c r="N757" s="31" t="n"/>
      <c r="O757" s="32" t="n"/>
    </row>
    <row r="758">
      <c r="A758" s="30">
        <f>IF(Database!B758="","",ROW()-1)</f>
        <v/>
      </c>
      <c r="B758" s="30">
        <f>IF(Database!B758="","",Database!B758)</f>
        <v/>
      </c>
      <c r="C758" s="87">
        <f>IF(Database!B758="","",Database!A758)</f>
        <v/>
      </c>
      <c r="D758" s="30">
        <f>IF(Database!B758="","",Database!D758)</f>
        <v/>
      </c>
      <c r="E758" s="30">
        <f>IF(Database!B758="","",Database!E758)</f>
        <v/>
      </c>
      <c r="F758" s="30">
        <f>IF(Database!B758="","",Database!F758)</f>
        <v/>
      </c>
      <c r="G758" s="30">
        <f>IF(Database!B758="","",Database!G758)</f>
        <v/>
      </c>
      <c r="H758" s="30">
        <f>IF(Database!B758="","",Database!C758)</f>
        <v/>
      </c>
      <c r="I758" s="30">
        <f>IF(Database!B758="","",Database!H758)</f>
        <v/>
      </c>
      <c r="J758" s="31" t="n"/>
      <c r="K758" s="88" t="n"/>
      <c r="L758" s="31" t="n"/>
      <c r="M758" s="31" t="n"/>
      <c r="N758" s="31" t="n"/>
      <c r="O758" s="32" t="n"/>
    </row>
    <row r="759">
      <c r="A759" s="30">
        <f>IF(Database!B759="","",ROW()-1)</f>
        <v/>
      </c>
      <c r="B759" s="30">
        <f>IF(Database!B759="","",Database!B759)</f>
        <v/>
      </c>
      <c r="C759" s="87">
        <f>IF(Database!B759="","",Database!A759)</f>
        <v/>
      </c>
      <c r="D759" s="30">
        <f>IF(Database!B759="","",Database!D759)</f>
        <v/>
      </c>
      <c r="E759" s="30">
        <f>IF(Database!B759="","",Database!E759)</f>
        <v/>
      </c>
      <c r="F759" s="30">
        <f>IF(Database!B759="","",Database!F759)</f>
        <v/>
      </c>
      <c r="G759" s="30">
        <f>IF(Database!B759="","",Database!G759)</f>
        <v/>
      </c>
      <c r="H759" s="30">
        <f>IF(Database!B759="","",Database!C759)</f>
        <v/>
      </c>
      <c r="I759" s="30">
        <f>IF(Database!B759="","",Database!H759)</f>
        <v/>
      </c>
      <c r="J759" s="31" t="n"/>
      <c r="K759" s="88" t="n"/>
      <c r="L759" s="31" t="n"/>
      <c r="M759" s="31" t="n"/>
      <c r="N759" s="31" t="n"/>
      <c r="O759" s="32" t="n"/>
    </row>
    <row r="760">
      <c r="A760" s="30">
        <f>IF(Database!B760="","",ROW()-1)</f>
        <v/>
      </c>
      <c r="B760" s="30">
        <f>IF(Database!B760="","",Database!B760)</f>
        <v/>
      </c>
      <c r="C760" s="87">
        <f>IF(Database!B760="","",Database!A760)</f>
        <v/>
      </c>
      <c r="D760" s="30">
        <f>IF(Database!B760="","",Database!D760)</f>
        <v/>
      </c>
      <c r="E760" s="30">
        <f>IF(Database!B760="","",Database!E760)</f>
        <v/>
      </c>
      <c r="F760" s="30">
        <f>IF(Database!B760="","",Database!F760)</f>
        <v/>
      </c>
      <c r="G760" s="30">
        <f>IF(Database!B760="","",Database!G760)</f>
        <v/>
      </c>
      <c r="H760" s="30">
        <f>IF(Database!B760="","",Database!C760)</f>
        <v/>
      </c>
      <c r="I760" s="30">
        <f>IF(Database!B760="","",Database!H760)</f>
        <v/>
      </c>
      <c r="J760" s="31" t="n"/>
      <c r="K760" s="88" t="n"/>
      <c r="L760" s="31" t="n"/>
      <c r="M760" s="31" t="n"/>
      <c r="N760" s="31" t="n"/>
      <c r="O760" s="32" t="n"/>
    </row>
    <row r="761">
      <c r="A761" s="30">
        <f>IF(Database!B761="","",ROW()-1)</f>
        <v/>
      </c>
      <c r="B761" s="30">
        <f>IF(Database!B761="","",Database!B761)</f>
        <v/>
      </c>
      <c r="C761" s="87">
        <f>IF(Database!B761="","",Database!A761)</f>
        <v/>
      </c>
      <c r="D761" s="30">
        <f>IF(Database!B761="","",Database!D761)</f>
        <v/>
      </c>
      <c r="E761" s="30">
        <f>IF(Database!B761="","",Database!E761)</f>
        <v/>
      </c>
      <c r="F761" s="30">
        <f>IF(Database!B761="","",Database!F761)</f>
        <v/>
      </c>
      <c r="G761" s="30">
        <f>IF(Database!B761="","",Database!G761)</f>
        <v/>
      </c>
      <c r="H761" s="30">
        <f>IF(Database!B761="","",Database!C761)</f>
        <v/>
      </c>
      <c r="I761" s="30">
        <f>IF(Database!B761="","",Database!H761)</f>
        <v/>
      </c>
      <c r="J761" s="31" t="n"/>
      <c r="K761" s="88" t="n"/>
      <c r="L761" s="31" t="n"/>
      <c r="M761" s="31" t="n"/>
      <c r="N761" s="31" t="n"/>
      <c r="O761" s="32" t="n"/>
    </row>
    <row r="762">
      <c r="A762" s="30">
        <f>IF(Database!B762="","",ROW()-1)</f>
        <v/>
      </c>
      <c r="B762" s="30">
        <f>IF(Database!B762="","",Database!B762)</f>
        <v/>
      </c>
      <c r="C762" s="87">
        <f>IF(Database!B762="","",Database!A762)</f>
        <v/>
      </c>
      <c r="D762" s="30">
        <f>IF(Database!B762="","",Database!D762)</f>
        <v/>
      </c>
      <c r="E762" s="30">
        <f>IF(Database!B762="","",Database!E762)</f>
        <v/>
      </c>
      <c r="F762" s="30">
        <f>IF(Database!B762="","",Database!F762)</f>
        <v/>
      </c>
      <c r="G762" s="30">
        <f>IF(Database!B762="","",Database!G762)</f>
        <v/>
      </c>
      <c r="H762" s="30">
        <f>IF(Database!B762="","",Database!C762)</f>
        <v/>
      </c>
      <c r="I762" s="30">
        <f>IF(Database!B762="","",Database!H762)</f>
        <v/>
      </c>
      <c r="J762" s="31" t="n"/>
      <c r="K762" s="88" t="n"/>
      <c r="L762" s="31" t="n"/>
      <c r="M762" s="31" t="n"/>
      <c r="N762" s="31" t="n"/>
      <c r="O762" s="32" t="n"/>
    </row>
    <row r="763">
      <c r="A763" s="30">
        <f>IF(Database!B763="","",ROW()-1)</f>
        <v/>
      </c>
      <c r="B763" s="30">
        <f>IF(Database!B763="","",Database!B763)</f>
        <v/>
      </c>
      <c r="C763" s="87">
        <f>IF(Database!B763="","",Database!A763)</f>
        <v/>
      </c>
      <c r="D763" s="30">
        <f>IF(Database!B763="","",Database!D763)</f>
        <v/>
      </c>
      <c r="E763" s="30">
        <f>IF(Database!B763="","",Database!E763)</f>
        <v/>
      </c>
      <c r="F763" s="30">
        <f>IF(Database!B763="","",Database!F763)</f>
        <v/>
      </c>
      <c r="G763" s="30">
        <f>IF(Database!B763="","",Database!G763)</f>
        <v/>
      </c>
      <c r="H763" s="30">
        <f>IF(Database!B763="","",Database!C763)</f>
        <v/>
      </c>
      <c r="I763" s="30">
        <f>IF(Database!B763="","",Database!H763)</f>
        <v/>
      </c>
      <c r="J763" s="31" t="n"/>
      <c r="K763" s="88" t="n"/>
      <c r="L763" s="31" t="n"/>
      <c r="M763" s="31" t="n"/>
      <c r="N763" s="31" t="n"/>
      <c r="O763" s="32" t="n"/>
    </row>
    <row r="764">
      <c r="A764" s="30">
        <f>IF(Database!B764="","",ROW()-1)</f>
        <v/>
      </c>
      <c r="B764" s="30">
        <f>IF(Database!B764="","",Database!B764)</f>
        <v/>
      </c>
      <c r="C764" s="87">
        <f>IF(Database!B764="","",Database!A764)</f>
        <v/>
      </c>
      <c r="D764" s="30">
        <f>IF(Database!B764="","",Database!D764)</f>
        <v/>
      </c>
      <c r="E764" s="30">
        <f>IF(Database!B764="","",Database!E764)</f>
        <v/>
      </c>
      <c r="F764" s="30">
        <f>IF(Database!B764="","",Database!F764)</f>
        <v/>
      </c>
      <c r="G764" s="30">
        <f>IF(Database!B764="","",Database!G764)</f>
        <v/>
      </c>
      <c r="H764" s="30">
        <f>IF(Database!B764="","",Database!C764)</f>
        <v/>
      </c>
      <c r="I764" s="30">
        <f>IF(Database!B764="","",Database!H764)</f>
        <v/>
      </c>
      <c r="J764" s="31" t="n"/>
      <c r="K764" s="88" t="n"/>
      <c r="L764" s="31" t="n"/>
      <c r="M764" s="31" t="n"/>
      <c r="N764" s="31" t="n"/>
      <c r="O764" s="32" t="n"/>
    </row>
    <row r="765">
      <c r="A765" s="30">
        <f>IF(Database!B765="","",ROW()-1)</f>
        <v/>
      </c>
      <c r="B765" s="30">
        <f>IF(Database!B765="","",Database!B765)</f>
        <v/>
      </c>
      <c r="C765" s="87">
        <f>IF(Database!B765="","",Database!A765)</f>
        <v/>
      </c>
      <c r="D765" s="30">
        <f>IF(Database!B765="","",Database!D765)</f>
        <v/>
      </c>
      <c r="E765" s="30">
        <f>IF(Database!B765="","",Database!E765)</f>
        <v/>
      </c>
      <c r="F765" s="30">
        <f>IF(Database!B765="","",Database!F765)</f>
        <v/>
      </c>
      <c r="G765" s="30">
        <f>IF(Database!B765="","",Database!G765)</f>
        <v/>
      </c>
      <c r="H765" s="30">
        <f>IF(Database!B765="","",Database!C765)</f>
        <v/>
      </c>
      <c r="I765" s="30">
        <f>IF(Database!B765="","",Database!H765)</f>
        <v/>
      </c>
      <c r="J765" s="31" t="n"/>
      <c r="K765" s="88" t="n"/>
      <c r="L765" s="31" t="n"/>
      <c r="M765" s="31" t="n"/>
      <c r="N765" s="31" t="n"/>
      <c r="O765" s="32" t="n"/>
    </row>
    <row r="766">
      <c r="A766" s="30">
        <f>IF(Database!B766="","",ROW()-1)</f>
        <v/>
      </c>
      <c r="B766" s="30">
        <f>IF(Database!B766="","",Database!B766)</f>
        <v/>
      </c>
      <c r="C766" s="87">
        <f>IF(Database!B766="","",Database!A766)</f>
        <v/>
      </c>
      <c r="D766" s="30">
        <f>IF(Database!B766="","",Database!D766)</f>
        <v/>
      </c>
      <c r="E766" s="30">
        <f>IF(Database!B766="","",Database!E766)</f>
        <v/>
      </c>
      <c r="F766" s="30">
        <f>IF(Database!B766="","",Database!F766)</f>
        <v/>
      </c>
      <c r="G766" s="30">
        <f>IF(Database!B766="","",Database!G766)</f>
        <v/>
      </c>
      <c r="H766" s="30">
        <f>IF(Database!B766="","",Database!C766)</f>
        <v/>
      </c>
      <c r="I766" s="30">
        <f>IF(Database!B766="","",Database!H766)</f>
        <v/>
      </c>
      <c r="J766" s="31" t="n"/>
      <c r="K766" s="88" t="n"/>
      <c r="L766" s="31" t="n"/>
      <c r="M766" s="31" t="n"/>
      <c r="N766" s="31" t="n"/>
      <c r="O766" s="32" t="n"/>
    </row>
    <row r="767">
      <c r="A767" s="30">
        <f>IF(Database!B767="","",ROW()-1)</f>
        <v/>
      </c>
      <c r="B767" s="30">
        <f>IF(Database!B767="","",Database!B767)</f>
        <v/>
      </c>
      <c r="C767" s="87">
        <f>IF(Database!B767="","",Database!A767)</f>
        <v/>
      </c>
      <c r="D767" s="30">
        <f>IF(Database!B767="","",Database!D767)</f>
        <v/>
      </c>
      <c r="E767" s="30">
        <f>IF(Database!B767="","",Database!E767)</f>
        <v/>
      </c>
      <c r="F767" s="30">
        <f>IF(Database!B767="","",Database!F767)</f>
        <v/>
      </c>
      <c r="G767" s="30">
        <f>IF(Database!B767="","",Database!G767)</f>
        <v/>
      </c>
      <c r="H767" s="30">
        <f>IF(Database!B767="","",Database!C767)</f>
        <v/>
      </c>
      <c r="I767" s="30">
        <f>IF(Database!B767="","",Database!H767)</f>
        <v/>
      </c>
      <c r="J767" s="31" t="n"/>
      <c r="K767" s="88" t="n"/>
      <c r="L767" s="31" t="n"/>
      <c r="M767" s="31" t="n"/>
      <c r="N767" s="31" t="n"/>
      <c r="O767" s="32" t="n"/>
    </row>
    <row r="768">
      <c r="A768" s="30">
        <f>IF(Database!B768="","",ROW()-1)</f>
        <v/>
      </c>
      <c r="B768" s="30">
        <f>IF(Database!B768="","",Database!B768)</f>
        <v/>
      </c>
      <c r="C768" s="87">
        <f>IF(Database!B768="","",Database!A768)</f>
        <v/>
      </c>
      <c r="D768" s="30">
        <f>IF(Database!B768="","",Database!D768)</f>
        <v/>
      </c>
      <c r="E768" s="30">
        <f>IF(Database!B768="","",Database!E768)</f>
        <v/>
      </c>
      <c r="F768" s="30">
        <f>IF(Database!B768="","",Database!F768)</f>
        <v/>
      </c>
      <c r="G768" s="30">
        <f>IF(Database!B768="","",Database!G768)</f>
        <v/>
      </c>
      <c r="H768" s="30">
        <f>IF(Database!B768="","",Database!C768)</f>
        <v/>
      </c>
      <c r="I768" s="30">
        <f>IF(Database!B768="","",Database!H768)</f>
        <v/>
      </c>
      <c r="J768" s="31" t="n"/>
      <c r="K768" s="88" t="n"/>
      <c r="L768" s="31" t="n"/>
      <c r="M768" s="31" t="n"/>
      <c r="N768" s="31" t="n"/>
      <c r="O768" s="32" t="n"/>
    </row>
    <row r="769">
      <c r="A769" s="30">
        <f>IF(Database!B769="","",ROW()-1)</f>
        <v/>
      </c>
      <c r="B769" s="30">
        <f>IF(Database!B769="","",Database!B769)</f>
        <v/>
      </c>
      <c r="C769" s="87">
        <f>IF(Database!B769="","",Database!A769)</f>
        <v/>
      </c>
      <c r="D769" s="30">
        <f>IF(Database!B769="","",Database!D769)</f>
        <v/>
      </c>
      <c r="E769" s="30">
        <f>IF(Database!B769="","",Database!E769)</f>
        <v/>
      </c>
      <c r="F769" s="30">
        <f>IF(Database!B769="","",Database!F769)</f>
        <v/>
      </c>
      <c r="G769" s="30">
        <f>IF(Database!B769="","",Database!G769)</f>
        <v/>
      </c>
      <c r="H769" s="30">
        <f>IF(Database!B769="","",Database!C769)</f>
        <v/>
      </c>
      <c r="I769" s="30">
        <f>IF(Database!B769="","",Database!H769)</f>
        <v/>
      </c>
      <c r="J769" s="31" t="n"/>
      <c r="K769" s="88" t="n"/>
      <c r="L769" s="31" t="n"/>
      <c r="M769" s="31" t="n"/>
      <c r="N769" s="31" t="n"/>
      <c r="O769" s="32" t="n"/>
    </row>
    <row r="770">
      <c r="A770" s="30">
        <f>IF(Database!B770="","",ROW()-1)</f>
        <v/>
      </c>
      <c r="B770" s="30">
        <f>IF(Database!B770="","",Database!B770)</f>
        <v/>
      </c>
      <c r="C770" s="87">
        <f>IF(Database!B770="","",Database!A770)</f>
        <v/>
      </c>
      <c r="D770" s="30">
        <f>IF(Database!B770="","",Database!D770)</f>
        <v/>
      </c>
      <c r="E770" s="30">
        <f>IF(Database!B770="","",Database!E770)</f>
        <v/>
      </c>
      <c r="F770" s="30">
        <f>IF(Database!B770="","",Database!F770)</f>
        <v/>
      </c>
      <c r="G770" s="30">
        <f>IF(Database!B770="","",Database!G770)</f>
        <v/>
      </c>
      <c r="H770" s="30">
        <f>IF(Database!B770="","",Database!C770)</f>
        <v/>
      </c>
      <c r="I770" s="30">
        <f>IF(Database!B770="","",Database!H770)</f>
        <v/>
      </c>
      <c r="J770" s="31" t="n"/>
      <c r="K770" s="88" t="n"/>
      <c r="L770" s="31" t="n"/>
      <c r="M770" s="31" t="n"/>
      <c r="N770" s="31" t="n"/>
      <c r="O770" s="32" t="n"/>
    </row>
    <row r="771">
      <c r="A771" s="30">
        <f>IF(Database!B771="","",ROW()-1)</f>
        <v/>
      </c>
      <c r="B771" s="30">
        <f>IF(Database!B771="","",Database!B771)</f>
        <v/>
      </c>
      <c r="C771" s="87">
        <f>IF(Database!B771="","",Database!A771)</f>
        <v/>
      </c>
      <c r="D771" s="30">
        <f>IF(Database!B771="","",Database!D771)</f>
        <v/>
      </c>
      <c r="E771" s="30">
        <f>IF(Database!B771="","",Database!E771)</f>
        <v/>
      </c>
      <c r="F771" s="30">
        <f>IF(Database!B771="","",Database!F771)</f>
        <v/>
      </c>
      <c r="G771" s="30">
        <f>IF(Database!B771="","",Database!G771)</f>
        <v/>
      </c>
      <c r="H771" s="30">
        <f>IF(Database!B771="","",Database!C771)</f>
        <v/>
      </c>
      <c r="I771" s="30">
        <f>IF(Database!B771="","",Database!H771)</f>
        <v/>
      </c>
      <c r="J771" s="31" t="n"/>
      <c r="K771" s="88" t="n"/>
      <c r="L771" s="31" t="n"/>
      <c r="M771" s="31" t="n"/>
      <c r="N771" s="31" t="n"/>
      <c r="O771" s="32" t="n"/>
    </row>
    <row r="772">
      <c r="A772" s="30">
        <f>IF(Database!B772="","",ROW()-1)</f>
        <v/>
      </c>
      <c r="B772" s="30">
        <f>IF(Database!B772="","",Database!B772)</f>
        <v/>
      </c>
      <c r="C772" s="87">
        <f>IF(Database!B772="","",Database!A772)</f>
        <v/>
      </c>
      <c r="D772" s="30">
        <f>IF(Database!B772="","",Database!D772)</f>
        <v/>
      </c>
      <c r="E772" s="30">
        <f>IF(Database!B772="","",Database!E772)</f>
        <v/>
      </c>
      <c r="F772" s="30">
        <f>IF(Database!B772="","",Database!F772)</f>
        <v/>
      </c>
      <c r="G772" s="30">
        <f>IF(Database!B772="","",Database!G772)</f>
        <v/>
      </c>
      <c r="H772" s="30">
        <f>IF(Database!B772="","",Database!C772)</f>
        <v/>
      </c>
      <c r="I772" s="30">
        <f>IF(Database!B772="","",Database!H772)</f>
        <v/>
      </c>
      <c r="J772" s="31" t="n"/>
      <c r="K772" s="88" t="n"/>
      <c r="L772" s="31" t="n"/>
      <c r="M772" s="31" t="n"/>
      <c r="N772" s="31" t="n"/>
      <c r="O772" s="32" t="n"/>
    </row>
    <row r="773">
      <c r="A773" s="30">
        <f>IF(Database!B773="","",ROW()-1)</f>
        <v/>
      </c>
      <c r="B773" s="30">
        <f>IF(Database!B773="","",Database!B773)</f>
        <v/>
      </c>
      <c r="C773" s="87">
        <f>IF(Database!B773="","",Database!A773)</f>
        <v/>
      </c>
      <c r="D773" s="30">
        <f>IF(Database!B773="","",Database!D773)</f>
        <v/>
      </c>
      <c r="E773" s="30">
        <f>IF(Database!B773="","",Database!E773)</f>
        <v/>
      </c>
      <c r="F773" s="30">
        <f>IF(Database!B773="","",Database!F773)</f>
        <v/>
      </c>
      <c r="G773" s="30">
        <f>IF(Database!B773="","",Database!G773)</f>
        <v/>
      </c>
      <c r="H773" s="30">
        <f>IF(Database!B773="","",Database!C773)</f>
        <v/>
      </c>
      <c r="I773" s="30">
        <f>IF(Database!B773="","",Database!H773)</f>
        <v/>
      </c>
      <c r="J773" s="31" t="n"/>
      <c r="K773" s="88" t="n"/>
      <c r="L773" s="31" t="n"/>
      <c r="M773" s="31" t="n"/>
      <c r="N773" s="31" t="n"/>
      <c r="O773" s="32" t="n"/>
    </row>
    <row r="774">
      <c r="A774" s="30">
        <f>IF(Database!B774="","",ROW()-1)</f>
        <v/>
      </c>
      <c r="B774" s="30">
        <f>IF(Database!B774="","",Database!B774)</f>
        <v/>
      </c>
      <c r="C774" s="87">
        <f>IF(Database!B774="","",Database!A774)</f>
        <v/>
      </c>
      <c r="D774" s="30">
        <f>IF(Database!B774="","",Database!D774)</f>
        <v/>
      </c>
      <c r="E774" s="30">
        <f>IF(Database!B774="","",Database!E774)</f>
        <v/>
      </c>
      <c r="F774" s="30">
        <f>IF(Database!B774="","",Database!F774)</f>
        <v/>
      </c>
      <c r="G774" s="30">
        <f>IF(Database!B774="","",Database!G774)</f>
        <v/>
      </c>
      <c r="H774" s="30">
        <f>IF(Database!B774="","",Database!C774)</f>
        <v/>
      </c>
      <c r="I774" s="30">
        <f>IF(Database!B774="","",Database!H774)</f>
        <v/>
      </c>
      <c r="J774" s="31" t="n"/>
      <c r="K774" s="88" t="n"/>
      <c r="L774" s="31" t="n"/>
      <c r="M774" s="31" t="n"/>
      <c r="N774" s="31" t="n"/>
      <c r="O774" s="32" t="n"/>
    </row>
    <row r="775">
      <c r="A775" s="30">
        <f>IF(Database!B775="","",ROW()-1)</f>
        <v/>
      </c>
      <c r="B775" s="30">
        <f>IF(Database!B775="","",Database!B775)</f>
        <v/>
      </c>
      <c r="C775" s="87">
        <f>IF(Database!B775="","",Database!A775)</f>
        <v/>
      </c>
      <c r="D775" s="30">
        <f>IF(Database!B775="","",Database!D775)</f>
        <v/>
      </c>
      <c r="E775" s="30">
        <f>IF(Database!B775="","",Database!E775)</f>
        <v/>
      </c>
      <c r="F775" s="30">
        <f>IF(Database!B775="","",Database!F775)</f>
        <v/>
      </c>
      <c r="G775" s="30">
        <f>IF(Database!B775="","",Database!G775)</f>
        <v/>
      </c>
      <c r="H775" s="30">
        <f>IF(Database!B775="","",Database!C775)</f>
        <v/>
      </c>
      <c r="I775" s="30">
        <f>IF(Database!B775="","",Database!H775)</f>
        <v/>
      </c>
      <c r="J775" s="31" t="n"/>
      <c r="K775" s="88" t="n"/>
      <c r="L775" s="31" t="n"/>
      <c r="M775" s="31" t="n"/>
      <c r="N775" s="31" t="n"/>
      <c r="O775" s="32" t="n"/>
    </row>
    <row r="776">
      <c r="A776" s="30">
        <f>IF(Database!B776="","",ROW()-1)</f>
        <v/>
      </c>
      <c r="B776" s="30">
        <f>IF(Database!B776="","",Database!B776)</f>
        <v/>
      </c>
      <c r="C776" s="87">
        <f>IF(Database!B776="","",Database!A776)</f>
        <v/>
      </c>
      <c r="D776" s="30">
        <f>IF(Database!B776="","",Database!D776)</f>
        <v/>
      </c>
      <c r="E776" s="30">
        <f>IF(Database!B776="","",Database!E776)</f>
        <v/>
      </c>
      <c r="F776" s="30">
        <f>IF(Database!B776="","",Database!F776)</f>
        <v/>
      </c>
      <c r="G776" s="30">
        <f>IF(Database!B776="","",Database!G776)</f>
        <v/>
      </c>
      <c r="H776" s="30">
        <f>IF(Database!B776="","",Database!C776)</f>
        <v/>
      </c>
      <c r="I776" s="30">
        <f>IF(Database!B776="","",Database!H776)</f>
        <v/>
      </c>
      <c r="J776" s="31" t="n"/>
      <c r="K776" s="88" t="n"/>
      <c r="L776" s="31" t="n"/>
      <c r="M776" s="31" t="n"/>
      <c r="N776" s="31" t="n"/>
      <c r="O776" s="32" t="n"/>
    </row>
    <row r="777">
      <c r="A777" s="30">
        <f>IF(Database!B777="","",ROW()-1)</f>
        <v/>
      </c>
      <c r="B777" s="30">
        <f>IF(Database!B777="","",Database!B777)</f>
        <v/>
      </c>
      <c r="C777" s="87">
        <f>IF(Database!B777="","",Database!A777)</f>
        <v/>
      </c>
      <c r="D777" s="30">
        <f>IF(Database!B777="","",Database!D777)</f>
        <v/>
      </c>
      <c r="E777" s="30">
        <f>IF(Database!B777="","",Database!E777)</f>
        <v/>
      </c>
      <c r="F777" s="30">
        <f>IF(Database!B777="","",Database!F777)</f>
        <v/>
      </c>
      <c r="G777" s="30">
        <f>IF(Database!B777="","",Database!G777)</f>
        <v/>
      </c>
      <c r="H777" s="30">
        <f>IF(Database!B777="","",Database!C777)</f>
        <v/>
      </c>
      <c r="I777" s="30">
        <f>IF(Database!B777="","",Database!H777)</f>
        <v/>
      </c>
      <c r="J777" s="31" t="n"/>
      <c r="K777" s="88" t="n"/>
      <c r="L777" s="31" t="n"/>
      <c r="M777" s="31" t="n"/>
      <c r="N777" s="31" t="n"/>
      <c r="O777" s="32" t="n"/>
    </row>
    <row r="778">
      <c r="A778" s="30">
        <f>IF(Database!B778="","",ROW()-1)</f>
        <v/>
      </c>
      <c r="B778" s="30">
        <f>IF(Database!B778="","",Database!B778)</f>
        <v/>
      </c>
      <c r="C778" s="87">
        <f>IF(Database!B778="","",Database!A778)</f>
        <v/>
      </c>
      <c r="D778" s="30">
        <f>IF(Database!B778="","",Database!D778)</f>
        <v/>
      </c>
      <c r="E778" s="30">
        <f>IF(Database!B778="","",Database!E778)</f>
        <v/>
      </c>
      <c r="F778" s="30">
        <f>IF(Database!B778="","",Database!F778)</f>
        <v/>
      </c>
      <c r="G778" s="30">
        <f>IF(Database!B778="","",Database!G778)</f>
        <v/>
      </c>
      <c r="H778" s="30">
        <f>IF(Database!B778="","",Database!C778)</f>
        <v/>
      </c>
      <c r="I778" s="30">
        <f>IF(Database!B778="","",Database!H778)</f>
        <v/>
      </c>
      <c r="J778" s="31" t="n"/>
      <c r="K778" s="88" t="n"/>
      <c r="L778" s="31" t="n"/>
      <c r="M778" s="31" t="n"/>
      <c r="N778" s="31" t="n"/>
      <c r="O778" s="32" t="n"/>
    </row>
    <row r="779">
      <c r="A779" s="30">
        <f>IF(Database!B779="","",ROW()-1)</f>
        <v/>
      </c>
      <c r="B779" s="30">
        <f>IF(Database!B779="","",Database!B779)</f>
        <v/>
      </c>
      <c r="C779" s="87">
        <f>IF(Database!B779="","",Database!A779)</f>
        <v/>
      </c>
      <c r="D779" s="30">
        <f>IF(Database!B779="","",Database!D779)</f>
        <v/>
      </c>
      <c r="E779" s="30">
        <f>IF(Database!B779="","",Database!E779)</f>
        <v/>
      </c>
      <c r="F779" s="30">
        <f>IF(Database!B779="","",Database!F779)</f>
        <v/>
      </c>
      <c r="G779" s="30">
        <f>IF(Database!B779="","",Database!G779)</f>
        <v/>
      </c>
      <c r="H779" s="30">
        <f>IF(Database!B779="","",Database!C779)</f>
        <v/>
      </c>
      <c r="I779" s="30">
        <f>IF(Database!B779="","",Database!H779)</f>
        <v/>
      </c>
      <c r="J779" s="31" t="n"/>
      <c r="K779" s="88" t="n"/>
      <c r="L779" s="31" t="n"/>
      <c r="M779" s="31" t="n"/>
      <c r="N779" s="31" t="n"/>
      <c r="O779" s="32" t="n"/>
    </row>
    <row r="780">
      <c r="A780" s="30">
        <f>IF(Database!B780="","",ROW()-1)</f>
        <v/>
      </c>
      <c r="B780" s="30">
        <f>IF(Database!B780="","",Database!B780)</f>
        <v/>
      </c>
      <c r="C780" s="87">
        <f>IF(Database!B780="","",Database!A780)</f>
        <v/>
      </c>
      <c r="D780" s="30">
        <f>IF(Database!B780="","",Database!D780)</f>
        <v/>
      </c>
      <c r="E780" s="30">
        <f>IF(Database!B780="","",Database!E780)</f>
        <v/>
      </c>
      <c r="F780" s="30">
        <f>IF(Database!B780="","",Database!F780)</f>
        <v/>
      </c>
      <c r="G780" s="30">
        <f>IF(Database!B780="","",Database!G780)</f>
        <v/>
      </c>
      <c r="H780" s="30">
        <f>IF(Database!B780="","",Database!C780)</f>
        <v/>
      </c>
      <c r="I780" s="30">
        <f>IF(Database!B780="","",Database!H780)</f>
        <v/>
      </c>
      <c r="J780" s="31" t="n"/>
      <c r="K780" s="88" t="n"/>
      <c r="L780" s="31" t="n"/>
      <c r="M780" s="31" t="n"/>
      <c r="N780" s="31" t="n"/>
      <c r="O780" s="32" t="n"/>
    </row>
    <row r="781">
      <c r="A781" s="30">
        <f>IF(Database!B781="","",ROW()-1)</f>
        <v/>
      </c>
      <c r="B781" s="30">
        <f>IF(Database!B781="","",Database!B781)</f>
        <v/>
      </c>
      <c r="C781" s="87">
        <f>IF(Database!B781="","",Database!A781)</f>
        <v/>
      </c>
      <c r="D781" s="30">
        <f>IF(Database!B781="","",Database!D781)</f>
        <v/>
      </c>
      <c r="E781" s="30">
        <f>IF(Database!B781="","",Database!E781)</f>
        <v/>
      </c>
      <c r="F781" s="30">
        <f>IF(Database!B781="","",Database!F781)</f>
        <v/>
      </c>
      <c r="G781" s="30">
        <f>IF(Database!B781="","",Database!G781)</f>
        <v/>
      </c>
      <c r="H781" s="30">
        <f>IF(Database!B781="","",Database!C781)</f>
        <v/>
      </c>
      <c r="I781" s="30">
        <f>IF(Database!B781="","",Database!H781)</f>
        <v/>
      </c>
      <c r="J781" s="31" t="n"/>
      <c r="K781" s="88" t="n"/>
      <c r="L781" s="31" t="n"/>
      <c r="M781" s="31" t="n"/>
      <c r="N781" s="31" t="n"/>
      <c r="O781" s="32" t="n"/>
    </row>
    <row r="782">
      <c r="A782" s="30">
        <f>IF(Database!B782="","",ROW()-1)</f>
        <v/>
      </c>
      <c r="B782" s="30">
        <f>IF(Database!B782="","",Database!B782)</f>
        <v/>
      </c>
      <c r="C782" s="87">
        <f>IF(Database!B782="","",Database!A782)</f>
        <v/>
      </c>
      <c r="D782" s="30">
        <f>IF(Database!B782="","",Database!D782)</f>
        <v/>
      </c>
      <c r="E782" s="30">
        <f>IF(Database!B782="","",Database!E782)</f>
        <v/>
      </c>
      <c r="F782" s="30">
        <f>IF(Database!B782="","",Database!F782)</f>
        <v/>
      </c>
      <c r="G782" s="30">
        <f>IF(Database!B782="","",Database!G782)</f>
        <v/>
      </c>
      <c r="H782" s="30">
        <f>IF(Database!B782="","",Database!C782)</f>
        <v/>
      </c>
      <c r="I782" s="30">
        <f>IF(Database!B782="","",Database!H782)</f>
        <v/>
      </c>
      <c r="J782" s="31" t="n"/>
      <c r="K782" s="88" t="n"/>
      <c r="L782" s="31" t="n"/>
      <c r="M782" s="31" t="n"/>
      <c r="N782" s="31" t="n"/>
      <c r="O782" s="32" t="n"/>
    </row>
    <row r="783">
      <c r="A783" s="30">
        <f>IF(Database!B783="","",ROW()-1)</f>
        <v/>
      </c>
      <c r="B783" s="30">
        <f>IF(Database!B783="","",Database!B783)</f>
        <v/>
      </c>
      <c r="C783" s="87">
        <f>IF(Database!B783="","",Database!A783)</f>
        <v/>
      </c>
      <c r="D783" s="30">
        <f>IF(Database!B783="","",Database!D783)</f>
        <v/>
      </c>
      <c r="E783" s="30">
        <f>IF(Database!B783="","",Database!E783)</f>
        <v/>
      </c>
      <c r="F783" s="30">
        <f>IF(Database!B783="","",Database!F783)</f>
        <v/>
      </c>
      <c r="G783" s="30">
        <f>IF(Database!B783="","",Database!G783)</f>
        <v/>
      </c>
      <c r="H783" s="30">
        <f>IF(Database!B783="","",Database!C783)</f>
        <v/>
      </c>
      <c r="I783" s="30">
        <f>IF(Database!B783="","",Database!H783)</f>
        <v/>
      </c>
      <c r="J783" s="31" t="n"/>
      <c r="K783" s="88" t="n"/>
      <c r="L783" s="31" t="n"/>
      <c r="M783" s="31" t="n"/>
      <c r="N783" s="31" t="n"/>
      <c r="O783" s="32" t="n"/>
    </row>
    <row r="784">
      <c r="A784" s="30">
        <f>IF(Database!B784="","",ROW()-1)</f>
        <v/>
      </c>
      <c r="B784" s="30">
        <f>IF(Database!B784="","",Database!B784)</f>
        <v/>
      </c>
      <c r="C784" s="87">
        <f>IF(Database!B784="","",Database!A784)</f>
        <v/>
      </c>
      <c r="D784" s="30">
        <f>IF(Database!B784="","",Database!D784)</f>
        <v/>
      </c>
      <c r="E784" s="30">
        <f>IF(Database!B784="","",Database!E784)</f>
        <v/>
      </c>
      <c r="F784" s="30">
        <f>IF(Database!B784="","",Database!F784)</f>
        <v/>
      </c>
      <c r="G784" s="30">
        <f>IF(Database!B784="","",Database!G784)</f>
        <v/>
      </c>
      <c r="H784" s="30">
        <f>IF(Database!B784="","",Database!C784)</f>
        <v/>
      </c>
      <c r="I784" s="30">
        <f>IF(Database!B784="","",Database!H784)</f>
        <v/>
      </c>
      <c r="J784" s="31" t="n"/>
      <c r="K784" s="88" t="n"/>
      <c r="L784" s="31" t="n"/>
      <c r="M784" s="31" t="n"/>
      <c r="N784" s="31" t="n"/>
      <c r="O784" s="32" t="n"/>
    </row>
    <row r="785">
      <c r="A785" s="30">
        <f>IF(Database!B785="","",ROW()-1)</f>
        <v/>
      </c>
      <c r="B785" s="30">
        <f>IF(Database!B785="","",Database!B785)</f>
        <v/>
      </c>
      <c r="C785" s="87">
        <f>IF(Database!B785="","",Database!A785)</f>
        <v/>
      </c>
      <c r="D785" s="30">
        <f>IF(Database!B785="","",Database!D785)</f>
        <v/>
      </c>
      <c r="E785" s="30">
        <f>IF(Database!B785="","",Database!E785)</f>
        <v/>
      </c>
      <c r="F785" s="30">
        <f>IF(Database!B785="","",Database!F785)</f>
        <v/>
      </c>
      <c r="G785" s="30">
        <f>IF(Database!B785="","",Database!G785)</f>
        <v/>
      </c>
      <c r="H785" s="30">
        <f>IF(Database!B785="","",Database!C785)</f>
        <v/>
      </c>
      <c r="I785" s="30">
        <f>IF(Database!B785="","",Database!H785)</f>
        <v/>
      </c>
      <c r="J785" s="31" t="n"/>
      <c r="K785" s="88" t="n"/>
      <c r="L785" s="31" t="n"/>
      <c r="M785" s="31" t="n"/>
      <c r="N785" s="31" t="n"/>
      <c r="O785" s="32" t="n"/>
    </row>
    <row r="786">
      <c r="A786" s="30">
        <f>IF(Database!B786="","",ROW()-1)</f>
        <v/>
      </c>
      <c r="B786" s="30">
        <f>IF(Database!B786="","",Database!B786)</f>
        <v/>
      </c>
      <c r="C786" s="87">
        <f>IF(Database!B786="","",Database!A786)</f>
        <v/>
      </c>
      <c r="D786" s="30">
        <f>IF(Database!B786="","",Database!D786)</f>
        <v/>
      </c>
      <c r="E786" s="30">
        <f>IF(Database!B786="","",Database!E786)</f>
        <v/>
      </c>
      <c r="F786" s="30">
        <f>IF(Database!B786="","",Database!F786)</f>
        <v/>
      </c>
      <c r="G786" s="30">
        <f>IF(Database!B786="","",Database!G786)</f>
        <v/>
      </c>
      <c r="H786" s="30">
        <f>IF(Database!B786="","",Database!C786)</f>
        <v/>
      </c>
      <c r="I786" s="30">
        <f>IF(Database!B786="","",Database!H786)</f>
        <v/>
      </c>
      <c r="J786" s="31" t="n"/>
      <c r="K786" s="88" t="n"/>
      <c r="L786" s="31" t="n"/>
      <c r="M786" s="31" t="n"/>
      <c r="N786" s="31" t="n"/>
      <c r="O786" s="32" t="n"/>
    </row>
    <row r="787">
      <c r="A787" s="30">
        <f>IF(Database!B787="","",ROW()-1)</f>
        <v/>
      </c>
      <c r="B787" s="30">
        <f>IF(Database!B787="","",Database!B787)</f>
        <v/>
      </c>
      <c r="C787" s="87">
        <f>IF(Database!B787="","",Database!A787)</f>
        <v/>
      </c>
      <c r="D787" s="30">
        <f>IF(Database!B787="","",Database!D787)</f>
        <v/>
      </c>
      <c r="E787" s="30">
        <f>IF(Database!B787="","",Database!E787)</f>
        <v/>
      </c>
      <c r="F787" s="30">
        <f>IF(Database!B787="","",Database!F787)</f>
        <v/>
      </c>
      <c r="G787" s="30">
        <f>IF(Database!B787="","",Database!G787)</f>
        <v/>
      </c>
      <c r="H787" s="30">
        <f>IF(Database!B787="","",Database!C787)</f>
        <v/>
      </c>
      <c r="I787" s="30">
        <f>IF(Database!B787="","",Database!H787)</f>
        <v/>
      </c>
      <c r="J787" s="31" t="n"/>
      <c r="K787" s="88" t="n"/>
      <c r="L787" s="31" t="n"/>
      <c r="M787" s="31" t="n"/>
      <c r="N787" s="31" t="n"/>
      <c r="O787" s="32" t="n"/>
    </row>
    <row r="788">
      <c r="A788" s="30">
        <f>IF(Database!B788="","",ROW()-1)</f>
        <v/>
      </c>
      <c r="B788" s="30">
        <f>IF(Database!B788="","",Database!B788)</f>
        <v/>
      </c>
      <c r="C788" s="87">
        <f>IF(Database!B788="","",Database!A788)</f>
        <v/>
      </c>
      <c r="D788" s="30">
        <f>IF(Database!B788="","",Database!D788)</f>
        <v/>
      </c>
      <c r="E788" s="30">
        <f>IF(Database!B788="","",Database!E788)</f>
        <v/>
      </c>
      <c r="F788" s="30">
        <f>IF(Database!B788="","",Database!F788)</f>
        <v/>
      </c>
      <c r="G788" s="30">
        <f>IF(Database!B788="","",Database!G788)</f>
        <v/>
      </c>
      <c r="H788" s="30">
        <f>IF(Database!B788="","",Database!C788)</f>
        <v/>
      </c>
      <c r="I788" s="30">
        <f>IF(Database!B788="","",Database!H788)</f>
        <v/>
      </c>
      <c r="J788" s="31" t="n"/>
      <c r="K788" s="88" t="n"/>
      <c r="L788" s="31" t="n"/>
      <c r="M788" s="31" t="n"/>
      <c r="N788" s="31" t="n"/>
      <c r="O788" s="32" t="n"/>
    </row>
    <row r="789">
      <c r="A789" s="30">
        <f>IF(Database!B789="","",ROW()-1)</f>
        <v/>
      </c>
      <c r="B789" s="30">
        <f>IF(Database!B789="","",Database!B789)</f>
        <v/>
      </c>
      <c r="C789" s="87">
        <f>IF(Database!B789="","",Database!A789)</f>
        <v/>
      </c>
      <c r="D789" s="30">
        <f>IF(Database!B789="","",Database!D789)</f>
        <v/>
      </c>
      <c r="E789" s="30">
        <f>IF(Database!B789="","",Database!E789)</f>
        <v/>
      </c>
      <c r="F789" s="30">
        <f>IF(Database!B789="","",Database!F789)</f>
        <v/>
      </c>
      <c r="G789" s="30">
        <f>IF(Database!B789="","",Database!G789)</f>
        <v/>
      </c>
      <c r="H789" s="30">
        <f>IF(Database!B789="","",Database!C789)</f>
        <v/>
      </c>
      <c r="I789" s="30">
        <f>IF(Database!B789="","",Database!H789)</f>
        <v/>
      </c>
      <c r="J789" s="31" t="n"/>
      <c r="K789" s="88" t="n"/>
      <c r="L789" s="31" t="n"/>
      <c r="M789" s="31" t="n"/>
      <c r="N789" s="31" t="n"/>
      <c r="O789" s="32" t="n"/>
    </row>
    <row r="790">
      <c r="A790" s="30">
        <f>IF(Database!B790="","",ROW()-1)</f>
        <v/>
      </c>
      <c r="B790" s="30">
        <f>IF(Database!B790="","",Database!B790)</f>
        <v/>
      </c>
      <c r="C790" s="87">
        <f>IF(Database!B790="","",Database!A790)</f>
        <v/>
      </c>
      <c r="D790" s="30">
        <f>IF(Database!B790="","",Database!D790)</f>
        <v/>
      </c>
      <c r="E790" s="30">
        <f>IF(Database!B790="","",Database!E790)</f>
        <v/>
      </c>
      <c r="F790" s="30">
        <f>IF(Database!B790="","",Database!F790)</f>
        <v/>
      </c>
      <c r="G790" s="30">
        <f>IF(Database!B790="","",Database!G790)</f>
        <v/>
      </c>
      <c r="H790" s="30">
        <f>IF(Database!B790="","",Database!C790)</f>
        <v/>
      </c>
      <c r="I790" s="30">
        <f>IF(Database!B790="","",Database!H790)</f>
        <v/>
      </c>
      <c r="J790" s="31" t="n"/>
      <c r="K790" s="88" t="n"/>
      <c r="L790" s="31" t="n"/>
      <c r="M790" s="31" t="n"/>
      <c r="N790" s="31" t="n"/>
      <c r="O790" s="32" t="n"/>
    </row>
    <row r="791">
      <c r="A791" s="30">
        <f>IF(Database!B791="","",ROW()-1)</f>
        <v/>
      </c>
      <c r="B791" s="30">
        <f>IF(Database!B791="","",Database!B791)</f>
        <v/>
      </c>
      <c r="C791" s="87">
        <f>IF(Database!B791="","",Database!A791)</f>
        <v/>
      </c>
      <c r="D791" s="30">
        <f>IF(Database!B791="","",Database!D791)</f>
        <v/>
      </c>
      <c r="E791" s="30">
        <f>IF(Database!B791="","",Database!E791)</f>
        <v/>
      </c>
      <c r="F791" s="30">
        <f>IF(Database!B791="","",Database!F791)</f>
        <v/>
      </c>
      <c r="G791" s="30">
        <f>IF(Database!B791="","",Database!G791)</f>
        <v/>
      </c>
      <c r="H791" s="30">
        <f>IF(Database!B791="","",Database!C791)</f>
        <v/>
      </c>
      <c r="I791" s="30">
        <f>IF(Database!B791="","",Database!H791)</f>
        <v/>
      </c>
      <c r="J791" s="31" t="n"/>
      <c r="K791" s="88" t="n"/>
      <c r="L791" s="31" t="n"/>
      <c r="M791" s="31" t="n"/>
      <c r="N791" s="31" t="n"/>
      <c r="O791" s="32" t="n"/>
    </row>
    <row r="792">
      <c r="A792" s="30">
        <f>IF(Database!B792="","",ROW()-1)</f>
        <v/>
      </c>
      <c r="B792" s="30">
        <f>IF(Database!B792="","",Database!B792)</f>
        <v/>
      </c>
      <c r="C792" s="87">
        <f>IF(Database!B792="","",Database!A792)</f>
        <v/>
      </c>
      <c r="D792" s="30">
        <f>IF(Database!B792="","",Database!D792)</f>
        <v/>
      </c>
      <c r="E792" s="30">
        <f>IF(Database!B792="","",Database!E792)</f>
        <v/>
      </c>
      <c r="F792" s="30">
        <f>IF(Database!B792="","",Database!F792)</f>
        <v/>
      </c>
      <c r="G792" s="30">
        <f>IF(Database!B792="","",Database!G792)</f>
        <v/>
      </c>
      <c r="H792" s="30">
        <f>IF(Database!B792="","",Database!C792)</f>
        <v/>
      </c>
      <c r="I792" s="30">
        <f>IF(Database!B792="","",Database!H792)</f>
        <v/>
      </c>
      <c r="J792" s="31" t="n"/>
      <c r="K792" s="88" t="n"/>
      <c r="L792" s="31" t="n"/>
      <c r="M792" s="31" t="n"/>
      <c r="N792" s="31" t="n"/>
      <c r="O792" s="32" t="n"/>
    </row>
    <row r="793">
      <c r="A793" s="30">
        <f>IF(Database!B793="","",ROW()-1)</f>
        <v/>
      </c>
      <c r="B793" s="30">
        <f>IF(Database!B793="","",Database!B793)</f>
        <v/>
      </c>
      <c r="C793" s="87">
        <f>IF(Database!B793="","",Database!A793)</f>
        <v/>
      </c>
      <c r="D793" s="30">
        <f>IF(Database!B793="","",Database!D793)</f>
        <v/>
      </c>
      <c r="E793" s="30">
        <f>IF(Database!B793="","",Database!E793)</f>
        <v/>
      </c>
      <c r="F793" s="30">
        <f>IF(Database!B793="","",Database!F793)</f>
        <v/>
      </c>
      <c r="G793" s="30">
        <f>IF(Database!B793="","",Database!G793)</f>
        <v/>
      </c>
      <c r="H793" s="30">
        <f>IF(Database!B793="","",Database!C793)</f>
        <v/>
      </c>
      <c r="I793" s="30">
        <f>IF(Database!B793="","",Database!H793)</f>
        <v/>
      </c>
      <c r="J793" s="31" t="n"/>
      <c r="K793" s="88" t="n"/>
      <c r="L793" s="31" t="n"/>
      <c r="M793" s="31" t="n"/>
      <c r="N793" s="31" t="n"/>
      <c r="O793" s="32" t="n"/>
    </row>
    <row r="794">
      <c r="A794" s="30">
        <f>IF(Database!B794="","",ROW()-1)</f>
        <v/>
      </c>
      <c r="B794" s="30">
        <f>IF(Database!B794="","",Database!B794)</f>
        <v/>
      </c>
      <c r="C794" s="87">
        <f>IF(Database!B794="","",Database!A794)</f>
        <v/>
      </c>
      <c r="D794" s="30">
        <f>IF(Database!B794="","",Database!D794)</f>
        <v/>
      </c>
      <c r="E794" s="30">
        <f>IF(Database!B794="","",Database!E794)</f>
        <v/>
      </c>
      <c r="F794" s="30">
        <f>IF(Database!B794="","",Database!F794)</f>
        <v/>
      </c>
      <c r="G794" s="30">
        <f>IF(Database!B794="","",Database!G794)</f>
        <v/>
      </c>
      <c r="H794" s="30">
        <f>IF(Database!B794="","",Database!C794)</f>
        <v/>
      </c>
      <c r="I794" s="30">
        <f>IF(Database!B794="","",Database!H794)</f>
        <v/>
      </c>
      <c r="J794" s="31" t="n"/>
      <c r="K794" s="88" t="n"/>
      <c r="L794" s="31" t="n"/>
      <c r="M794" s="31" t="n"/>
      <c r="N794" s="31" t="n"/>
      <c r="O794" s="32" t="n"/>
    </row>
    <row r="795">
      <c r="A795" s="30">
        <f>IF(Database!B795="","",ROW()-1)</f>
        <v/>
      </c>
      <c r="B795" s="30">
        <f>IF(Database!B795="","",Database!B795)</f>
        <v/>
      </c>
      <c r="C795" s="87">
        <f>IF(Database!B795="","",Database!A795)</f>
        <v/>
      </c>
      <c r="D795" s="30">
        <f>IF(Database!B795="","",Database!D795)</f>
        <v/>
      </c>
      <c r="E795" s="30">
        <f>IF(Database!B795="","",Database!E795)</f>
        <v/>
      </c>
      <c r="F795" s="30">
        <f>IF(Database!B795="","",Database!F795)</f>
        <v/>
      </c>
      <c r="G795" s="30">
        <f>IF(Database!B795="","",Database!G795)</f>
        <v/>
      </c>
      <c r="H795" s="30">
        <f>IF(Database!B795="","",Database!C795)</f>
        <v/>
      </c>
      <c r="I795" s="30">
        <f>IF(Database!B795="","",Database!H795)</f>
        <v/>
      </c>
      <c r="J795" s="31" t="n"/>
      <c r="K795" s="88" t="n"/>
      <c r="L795" s="31" t="n"/>
      <c r="M795" s="31" t="n"/>
      <c r="N795" s="31" t="n"/>
      <c r="O795" s="32" t="n"/>
    </row>
    <row r="796">
      <c r="A796" s="30">
        <f>IF(Database!B796="","",ROW()-1)</f>
        <v/>
      </c>
      <c r="B796" s="30">
        <f>IF(Database!B796="","",Database!B796)</f>
        <v/>
      </c>
      <c r="C796" s="87">
        <f>IF(Database!B796="","",Database!A796)</f>
        <v/>
      </c>
      <c r="D796" s="30">
        <f>IF(Database!B796="","",Database!D796)</f>
        <v/>
      </c>
      <c r="E796" s="30">
        <f>IF(Database!B796="","",Database!E796)</f>
        <v/>
      </c>
      <c r="F796" s="30">
        <f>IF(Database!B796="","",Database!F796)</f>
        <v/>
      </c>
      <c r="G796" s="30">
        <f>IF(Database!B796="","",Database!G796)</f>
        <v/>
      </c>
      <c r="H796" s="30">
        <f>IF(Database!B796="","",Database!C796)</f>
        <v/>
      </c>
      <c r="I796" s="30">
        <f>IF(Database!B796="","",Database!H796)</f>
        <v/>
      </c>
      <c r="J796" s="31" t="n"/>
      <c r="K796" s="88" t="n"/>
      <c r="L796" s="31" t="n"/>
      <c r="M796" s="31" t="n"/>
      <c r="N796" s="31" t="n"/>
      <c r="O796" s="32" t="n"/>
    </row>
    <row r="797">
      <c r="A797" s="30">
        <f>IF(Database!B797="","",ROW()-1)</f>
        <v/>
      </c>
      <c r="B797" s="30">
        <f>IF(Database!B797="","",Database!B797)</f>
        <v/>
      </c>
      <c r="C797" s="87">
        <f>IF(Database!B797="","",Database!A797)</f>
        <v/>
      </c>
      <c r="D797" s="30">
        <f>IF(Database!B797="","",Database!D797)</f>
        <v/>
      </c>
      <c r="E797" s="30">
        <f>IF(Database!B797="","",Database!E797)</f>
        <v/>
      </c>
      <c r="F797" s="30">
        <f>IF(Database!B797="","",Database!F797)</f>
        <v/>
      </c>
      <c r="G797" s="30">
        <f>IF(Database!B797="","",Database!G797)</f>
        <v/>
      </c>
      <c r="H797" s="30">
        <f>IF(Database!B797="","",Database!C797)</f>
        <v/>
      </c>
      <c r="I797" s="30">
        <f>IF(Database!B797="","",Database!H797)</f>
        <v/>
      </c>
      <c r="J797" s="31" t="n"/>
      <c r="K797" s="88" t="n"/>
      <c r="L797" s="31" t="n"/>
      <c r="M797" s="31" t="n"/>
      <c r="N797" s="31" t="n"/>
      <c r="O797" s="32" t="n"/>
    </row>
    <row r="798">
      <c r="A798" s="30">
        <f>IF(Database!B798="","",ROW()-1)</f>
        <v/>
      </c>
      <c r="B798" s="30">
        <f>IF(Database!B798="","",Database!B798)</f>
        <v/>
      </c>
      <c r="C798" s="87">
        <f>IF(Database!B798="","",Database!A798)</f>
        <v/>
      </c>
      <c r="D798" s="30">
        <f>IF(Database!B798="","",Database!D798)</f>
        <v/>
      </c>
      <c r="E798" s="30">
        <f>IF(Database!B798="","",Database!E798)</f>
        <v/>
      </c>
      <c r="F798" s="30">
        <f>IF(Database!B798="","",Database!F798)</f>
        <v/>
      </c>
      <c r="G798" s="30">
        <f>IF(Database!B798="","",Database!G798)</f>
        <v/>
      </c>
      <c r="H798" s="30">
        <f>IF(Database!B798="","",Database!C798)</f>
        <v/>
      </c>
      <c r="I798" s="30">
        <f>IF(Database!B798="","",Database!H798)</f>
        <v/>
      </c>
      <c r="J798" s="31" t="n"/>
      <c r="K798" s="88" t="n"/>
      <c r="L798" s="31" t="n"/>
      <c r="M798" s="31" t="n"/>
      <c r="N798" s="31" t="n"/>
      <c r="O798" s="32" t="n"/>
    </row>
    <row r="799">
      <c r="A799" s="30">
        <f>IF(Database!B799="","",ROW()-1)</f>
        <v/>
      </c>
      <c r="B799" s="30">
        <f>IF(Database!B799="","",Database!B799)</f>
        <v/>
      </c>
      <c r="C799" s="87">
        <f>IF(Database!B799="","",Database!A799)</f>
        <v/>
      </c>
      <c r="D799" s="30">
        <f>IF(Database!B799="","",Database!D799)</f>
        <v/>
      </c>
      <c r="E799" s="30">
        <f>IF(Database!B799="","",Database!E799)</f>
        <v/>
      </c>
      <c r="F799" s="30">
        <f>IF(Database!B799="","",Database!F799)</f>
        <v/>
      </c>
      <c r="G799" s="30">
        <f>IF(Database!B799="","",Database!G799)</f>
        <v/>
      </c>
      <c r="H799" s="30">
        <f>IF(Database!B799="","",Database!C799)</f>
        <v/>
      </c>
      <c r="I799" s="30">
        <f>IF(Database!B799="","",Database!H799)</f>
        <v/>
      </c>
      <c r="J799" s="31" t="n"/>
      <c r="K799" s="88" t="n"/>
      <c r="L799" s="31" t="n"/>
      <c r="M799" s="31" t="n"/>
      <c r="N799" s="31" t="n"/>
      <c r="O799" s="32" t="n"/>
    </row>
    <row r="800">
      <c r="A800" s="30">
        <f>IF(Database!B800="","",ROW()-1)</f>
        <v/>
      </c>
      <c r="B800" s="30">
        <f>IF(Database!B800="","",Database!B800)</f>
        <v/>
      </c>
      <c r="C800" s="87">
        <f>IF(Database!B800="","",Database!A800)</f>
        <v/>
      </c>
      <c r="D800" s="30">
        <f>IF(Database!B800="","",Database!D800)</f>
        <v/>
      </c>
      <c r="E800" s="30">
        <f>IF(Database!B800="","",Database!E800)</f>
        <v/>
      </c>
      <c r="F800" s="30">
        <f>IF(Database!B800="","",Database!F800)</f>
        <v/>
      </c>
      <c r="G800" s="30">
        <f>IF(Database!B800="","",Database!G800)</f>
        <v/>
      </c>
      <c r="H800" s="30">
        <f>IF(Database!B800="","",Database!C800)</f>
        <v/>
      </c>
      <c r="I800" s="30">
        <f>IF(Database!B800="","",Database!H800)</f>
        <v/>
      </c>
      <c r="J800" s="31" t="n"/>
      <c r="K800" s="88" t="n"/>
      <c r="L800" s="31" t="n"/>
      <c r="M800" s="31" t="n"/>
      <c r="N800" s="31" t="n"/>
      <c r="O800" s="32" t="n"/>
    </row>
    <row r="801">
      <c r="A801" s="30">
        <f>IF(Database!B801="","",ROW()-1)</f>
        <v/>
      </c>
      <c r="B801" s="30">
        <f>IF(Database!B801="","",Database!B801)</f>
        <v/>
      </c>
      <c r="C801" s="87">
        <f>IF(Database!B801="","",Database!A801)</f>
        <v/>
      </c>
      <c r="D801" s="30">
        <f>IF(Database!B801="","",Database!D801)</f>
        <v/>
      </c>
      <c r="E801" s="30">
        <f>IF(Database!B801="","",Database!E801)</f>
        <v/>
      </c>
      <c r="F801" s="30">
        <f>IF(Database!B801="","",Database!F801)</f>
        <v/>
      </c>
      <c r="G801" s="30">
        <f>IF(Database!B801="","",Database!G801)</f>
        <v/>
      </c>
      <c r="H801" s="30">
        <f>IF(Database!B801="","",Database!C801)</f>
        <v/>
      </c>
      <c r="I801" s="30">
        <f>IF(Database!B801="","",Database!H801)</f>
        <v/>
      </c>
      <c r="J801" s="31" t="n"/>
      <c r="K801" s="88" t="n"/>
      <c r="L801" s="31" t="n"/>
      <c r="M801" s="31" t="n"/>
      <c r="N801" s="31" t="n"/>
      <c r="O801" s="32" t="n"/>
    </row>
    <row r="802">
      <c r="A802" s="30">
        <f>IF(Database!B802="","",ROW()-1)</f>
        <v/>
      </c>
      <c r="B802" s="30">
        <f>IF(Database!B802="","",Database!B802)</f>
        <v/>
      </c>
      <c r="C802" s="87">
        <f>IF(Database!B802="","",Database!A802)</f>
        <v/>
      </c>
      <c r="D802" s="30">
        <f>IF(Database!B802="","",Database!D802)</f>
        <v/>
      </c>
      <c r="E802" s="30">
        <f>IF(Database!B802="","",Database!E802)</f>
        <v/>
      </c>
      <c r="F802" s="30">
        <f>IF(Database!B802="","",Database!F802)</f>
        <v/>
      </c>
      <c r="G802" s="30">
        <f>IF(Database!B802="","",Database!G802)</f>
        <v/>
      </c>
      <c r="H802" s="30">
        <f>IF(Database!B802="","",Database!C802)</f>
        <v/>
      </c>
      <c r="I802" s="30">
        <f>IF(Database!B802="","",Database!H802)</f>
        <v/>
      </c>
      <c r="J802" s="31" t="n"/>
      <c r="K802" s="88" t="n"/>
      <c r="L802" s="31" t="n"/>
      <c r="M802" s="31" t="n"/>
      <c r="N802" s="31" t="n"/>
      <c r="O802" s="32" t="n"/>
    </row>
    <row r="803">
      <c r="A803" s="30">
        <f>IF(Database!B803="","",ROW()-1)</f>
        <v/>
      </c>
      <c r="B803" s="30">
        <f>IF(Database!B803="","",Database!B803)</f>
        <v/>
      </c>
      <c r="C803" s="87">
        <f>IF(Database!B803="","",Database!A803)</f>
        <v/>
      </c>
      <c r="D803" s="30">
        <f>IF(Database!B803="","",Database!D803)</f>
        <v/>
      </c>
      <c r="E803" s="30">
        <f>IF(Database!B803="","",Database!E803)</f>
        <v/>
      </c>
      <c r="F803" s="30">
        <f>IF(Database!B803="","",Database!F803)</f>
        <v/>
      </c>
      <c r="G803" s="30">
        <f>IF(Database!B803="","",Database!G803)</f>
        <v/>
      </c>
      <c r="H803" s="30">
        <f>IF(Database!B803="","",Database!C803)</f>
        <v/>
      </c>
      <c r="I803" s="30">
        <f>IF(Database!B803="","",Database!H803)</f>
        <v/>
      </c>
      <c r="J803" s="31" t="n"/>
      <c r="K803" s="88" t="n"/>
      <c r="L803" s="31" t="n"/>
      <c r="M803" s="31" t="n"/>
      <c r="N803" s="31" t="n"/>
      <c r="O803" s="32" t="n"/>
    </row>
    <row r="804">
      <c r="A804" s="30">
        <f>IF(Database!B804="","",ROW()-1)</f>
        <v/>
      </c>
      <c r="B804" s="30">
        <f>IF(Database!B804="","",Database!B804)</f>
        <v/>
      </c>
      <c r="C804" s="87">
        <f>IF(Database!B804="","",Database!A804)</f>
        <v/>
      </c>
      <c r="D804" s="30">
        <f>IF(Database!B804="","",Database!D804)</f>
        <v/>
      </c>
      <c r="E804" s="30">
        <f>IF(Database!B804="","",Database!E804)</f>
        <v/>
      </c>
      <c r="F804" s="30">
        <f>IF(Database!B804="","",Database!F804)</f>
        <v/>
      </c>
      <c r="G804" s="30">
        <f>IF(Database!B804="","",Database!G804)</f>
        <v/>
      </c>
      <c r="H804" s="30">
        <f>IF(Database!B804="","",Database!C804)</f>
        <v/>
      </c>
      <c r="I804" s="30">
        <f>IF(Database!B804="","",Database!H804)</f>
        <v/>
      </c>
      <c r="J804" s="31" t="n"/>
      <c r="K804" s="88" t="n"/>
      <c r="L804" s="31" t="n"/>
      <c r="M804" s="31" t="n"/>
      <c r="N804" s="31" t="n"/>
      <c r="O804" s="32" t="n"/>
    </row>
    <row r="805">
      <c r="A805" s="30">
        <f>IF(Database!B805="","",ROW()-1)</f>
        <v/>
      </c>
      <c r="B805" s="30">
        <f>IF(Database!B805="","",Database!B805)</f>
        <v/>
      </c>
      <c r="C805" s="87">
        <f>IF(Database!B805="","",Database!A805)</f>
        <v/>
      </c>
      <c r="D805" s="30">
        <f>IF(Database!B805="","",Database!D805)</f>
        <v/>
      </c>
      <c r="E805" s="30">
        <f>IF(Database!B805="","",Database!E805)</f>
        <v/>
      </c>
      <c r="F805" s="30">
        <f>IF(Database!B805="","",Database!F805)</f>
        <v/>
      </c>
      <c r="G805" s="30">
        <f>IF(Database!B805="","",Database!G805)</f>
        <v/>
      </c>
      <c r="H805" s="30">
        <f>IF(Database!B805="","",Database!C805)</f>
        <v/>
      </c>
      <c r="I805" s="30">
        <f>IF(Database!B805="","",Database!H805)</f>
        <v/>
      </c>
      <c r="J805" s="31" t="n"/>
      <c r="K805" s="88" t="n"/>
      <c r="L805" s="31" t="n"/>
      <c r="M805" s="31" t="n"/>
      <c r="N805" s="31" t="n"/>
      <c r="O805" s="32" t="n"/>
    </row>
    <row r="806">
      <c r="A806" s="30">
        <f>IF(Database!B806="","",ROW()-1)</f>
        <v/>
      </c>
      <c r="B806" s="30">
        <f>IF(Database!B806="","",Database!B806)</f>
        <v/>
      </c>
      <c r="C806" s="87">
        <f>IF(Database!B806="","",Database!A806)</f>
        <v/>
      </c>
      <c r="D806" s="30">
        <f>IF(Database!B806="","",Database!D806)</f>
        <v/>
      </c>
      <c r="E806" s="30">
        <f>IF(Database!B806="","",Database!E806)</f>
        <v/>
      </c>
      <c r="F806" s="30">
        <f>IF(Database!B806="","",Database!F806)</f>
        <v/>
      </c>
      <c r="G806" s="30">
        <f>IF(Database!B806="","",Database!G806)</f>
        <v/>
      </c>
      <c r="H806" s="30">
        <f>IF(Database!B806="","",Database!C806)</f>
        <v/>
      </c>
      <c r="I806" s="30">
        <f>IF(Database!B806="","",Database!H806)</f>
        <v/>
      </c>
      <c r="J806" s="31" t="n"/>
      <c r="K806" s="88" t="n"/>
      <c r="L806" s="31" t="n"/>
      <c r="M806" s="31" t="n"/>
      <c r="N806" s="31" t="n"/>
      <c r="O806" s="32" t="n"/>
    </row>
    <row r="807">
      <c r="A807" s="30">
        <f>IF(Database!B807="","",ROW()-1)</f>
        <v/>
      </c>
      <c r="B807" s="30">
        <f>IF(Database!B807="","",Database!B807)</f>
        <v/>
      </c>
      <c r="C807" s="87">
        <f>IF(Database!B807="","",Database!A807)</f>
        <v/>
      </c>
      <c r="D807" s="30">
        <f>IF(Database!B807="","",Database!D807)</f>
        <v/>
      </c>
      <c r="E807" s="30">
        <f>IF(Database!B807="","",Database!E807)</f>
        <v/>
      </c>
      <c r="F807" s="30">
        <f>IF(Database!B807="","",Database!F807)</f>
        <v/>
      </c>
      <c r="G807" s="30">
        <f>IF(Database!B807="","",Database!G807)</f>
        <v/>
      </c>
      <c r="H807" s="30">
        <f>IF(Database!B807="","",Database!C807)</f>
        <v/>
      </c>
      <c r="I807" s="30">
        <f>IF(Database!B807="","",Database!H807)</f>
        <v/>
      </c>
      <c r="J807" s="31" t="n"/>
      <c r="K807" s="88" t="n"/>
      <c r="L807" s="31" t="n"/>
      <c r="M807" s="31" t="n"/>
      <c r="N807" s="31" t="n"/>
      <c r="O807" s="32" t="n"/>
    </row>
    <row r="808">
      <c r="A808" s="30">
        <f>IF(Database!B808="","",ROW()-1)</f>
        <v/>
      </c>
      <c r="B808" s="30">
        <f>IF(Database!B808="","",Database!B808)</f>
        <v/>
      </c>
      <c r="C808" s="87">
        <f>IF(Database!B808="","",Database!A808)</f>
        <v/>
      </c>
      <c r="D808" s="30">
        <f>IF(Database!B808="","",Database!D808)</f>
        <v/>
      </c>
      <c r="E808" s="30">
        <f>IF(Database!B808="","",Database!E808)</f>
        <v/>
      </c>
      <c r="F808" s="30">
        <f>IF(Database!B808="","",Database!F808)</f>
        <v/>
      </c>
      <c r="G808" s="30">
        <f>IF(Database!B808="","",Database!G808)</f>
        <v/>
      </c>
      <c r="H808" s="30">
        <f>IF(Database!B808="","",Database!C808)</f>
        <v/>
      </c>
      <c r="I808" s="30">
        <f>IF(Database!B808="","",Database!H808)</f>
        <v/>
      </c>
      <c r="J808" s="31" t="n"/>
      <c r="K808" s="88" t="n"/>
      <c r="L808" s="31" t="n"/>
      <c r="M808" s="31" t="n"/>
      <c r="N808" s="31" t="n"/>
      <c r="O808" s="32" t="n"/>
    </row>
    <row r="809">
      <c r="A809" s="30">
        <f>IF(Database!B809="","",ROW()-1)</f>
        <v/>
      </c>
      <c r="B809" s="30">
        <f>IF(Database!B809="","",Database!B809)</f>
        <v/>
      </c>
      <c r="C809" s="87">
        <f>IF(Database!B809="","",Database!A809)</f>
        <v/>
      </c>
      <c r="D809" s="30">
        <f>IF(Database!B809="","",Database!D809)</f>
        <v/>
      </c>
      <c r="E809" s="30">
        <f>IF(Database!B809="","",Database!E809)</f>
        <v/>
      </c>
      <c r="F809" s="30">
        <f>IF(Database!B809="","",Database!F809)</f>
        <v/>
      </c>
      <c r="G809" s="30">
        <f>IF(Database!B809="","",Database!G809)</f>
        <v/>
      </c>
      <c r="H809" s="30">
        <f>IF(Database!B809="","",Database!C809)</f>
        <v/>
      </c>
      <c r="I809" s="30">
        <f>IF(Database!B809="","",Database!H809)</f>
        <v/>
      </c>
      <c r="J809" s="31" t="n"/>
      <c r="K809" s="88" t="n"/>
      <c r="L809" s="31" t="n"/>
      <c r="M809" s="31" t="n"/>
      <c r="N809" s="31" t="n"/>
      <c r="O809" s="32" t="n"/>
    </row>
    <row r="810">
      <c r="A810" s="30">
        <f>IF(Database!B810="","",ROW()-1)</f>
        <v/>
      </c>
      <c r="B810" s="30">
        <f>IF(Database!B810="","",Database!B810)</f>
        <v/>
      </c>
      <c r="C810" s="87">
        <f>IF(Database!B810="","",Database!A810)</f>
        <v/>
      </c>
      <c r="D810" s="30">
        <f>IF(Database!B810="","",Database!D810)</f>
        <v/>
      </c>
      <c r="E810" s="30">
        <f>IF(Database!B810="","",Database!E810)</f>
        <v/>
      </c>
      <c r="F810" s="30">
        <f>IF(Database!B810="","",Database!F810)</f>
        <v/>
      </c>
      <c r="G810" s="30">
        <f>IF(Database!B810="","",Database!G810)</f>
        <v/>
      </c>
      <c r="H810" s="30">
        <f>IF(Database!B810="","",Database!C810)</f>
        <v/>
      </c>
      <c r="I810" s="30">
        <f>IF(Database!B810="","",Database!H810)</f>
        <v/>
      </c>
      <c r="J810" s="31" t="n"/>
      <c r="K810" s="88" t="n"/>
      <c r="L810" s="31" t="n"/>
      <c r="M810" s="31" t="n"/>
      <c r="N810" s="31" t="n"/>
      <c r="O810" s="32" t="n"/>
    </row>
    <row r="811">
      <c r="A811" s="30">
        <f>IF(Database!B811="","",ROW()-1)</f>
        <v/>
      </c>
      <c r="B811" s="30">
        <f>IF(Database!B811="","",Database!B811)</f>
        <v/>
      </c>
      <c r="C811" s="87">
        <f>IF(Database!B811="","",Database!A811)</f>
        <v/>
      </c>
      <c r="D811" s="30">
        <f>IF(Database!B811="","",Database!D811)</f>
        <v/>
      </c>
      <c r="E811" s="30">
        <f>IF(Database!B811="","",Database!E811)</f>
        <v/>
      </c>
      <c r="F811" s="30">
        <f>IF(Database!B811="","",Database!F811)</f>
        <v/>
      </c>
      <c r="G811" s="30">
        <f>IF(Database!B811="","",Database!G811)</f>
        <v/>
      </c>
      <c r="H811" s="30">
        <f>IF(Database!B811="","",Database!C811)</f>
        <v/>
      </c>
      <c r="I811" s="30">
        <f>IF(Database!B811="","",Database!H811)</f>
        <v/>
      </c>
      <c r="J811" s="31" t="n"/>
      <c r="K811" s="88" t="n"/>
      <c r="L811" s="31" t="n"/>
      <c r="M811" s="31" t="n"/>
      <c r="N811" s="31" t="n"/>
      <c r="O811" s="32" t="n"/>
    </row>
    <row r="812">
      <c r="A812" s="30">
        <f>IF(Database!B812="","",ROW()-1)</f>
        <v/>
      </c>
      <c r="B812" s="30">
        <f>IF(Database!B812="","",Database!B812)</f>
        <v/>
      </c>
      <c r="C812" s="87">
        <f>IF(Database!B812="","",Database!A812)</f>
        <v/>
      </c>
      <c r="D812" s="30">
        <f>IF(Database!B812="","",Database!D812)</f>
        <v/>
      </c>
      <c r="E812" s="30">
        <f>IF(Database!B812="","",Database!E812)</f>
        <v/>
      </c>
      <c r="F812" s="30">
        <f>IF(Database!B812="","",Database!F812)</f>
        <v/>
      </c>
      <c r="G812" s="30">
        <f>IF(Database!B812="","",Database!G812)</f>
        <v/>
      </c>
      <c r="H812" s="30">
        <f>IF(Database!B812="","",Database!C812)</f>
        <v/>
      </c>
      <c r="I812" s="30">
        <f>IF(Database!B812="","",Database!H812)</f>
        <v/>
      </c>
      <c r="J812" s="31" t="n"/>
      <c r="K812" s="88" t="n"/>
      <c r="L812" s="31" t="n"/>
      <c r="M812" s="31" t="n"/>
      <c r="N812" s="31" t="n"/>
      <c r="O812" s="32" t="n"/>
    </row>
    <row r="813">
      <c r="A813" s="30">
        <f>IF(Database!B813="","",ROW()-1)</f>
        <v/>
      </c>
      <c r="B813" s="30">
        <f>IF(Database!B813="","",Database!B813)</f>
        <v/>
      </c>
      <c r="C813" s="87">
        <f>IF(Database!B813="","",Database!A813)</f>
        <v/>
      </c>
      <c r="D813" s="30">
        <f>IF(Database!B813="","",Database!D813)</f>
        <v/>
      </c>
      <c r="E813" s="30">
        <f>IF(Database!B813="","",Database!E813)</f>
        <v/>
      </c>
      <c r="F813" s="30">
        <f>IF(Database!B813="","",Database!F813)</f>
        <v/>
      </c>
      <c r="G813" s="30">
        <f>IF(Database!B813="","",Database!G813)</f>
        <v/>
      </c>
      <c r="H813" s="30">
        <f>IF(Database!B813="","",Database!C813)</f>
        <v/>
      </c>
      <c r="I813" s="30">
        <f>IF(Database!B813="","",Database!H813)</f>
        <v/>
      </c>
      <c r="J813" s="31" t="n"/>
      <c r="K813" s="88" t="n"/>
      <c r="L813" s="31" t="n"/>
      <c r="M813" s="31" t="n"/>
      <c r="N813" s="31" t="n"/>
      <c r="O813" s="32" t="n"/>
    </row>
    <row r="814">
      <c r="A814" s="30">
        <f>IF(Database!B814="","",ROW()-1)</f>
        <v/>
      </c>
      <c r="B814" s="30">
        <f>IF(Database!B814="","",Database!B814)</f>
        <v/>
      </c>
      <c r="C814" s="87">
        <f>IF(Database!B814="","",Database!A814)</f>
        <v/>
      </c>
      <c r="D814" s="30">
        <f>IF(Database!B814="","",Database!D814)</f>
        <v/>
      </c>
      <c r="E814" s="30">
        <f>IF(Database!B814="","",Database!E814)</f>
        <v/>
      </c>
      <c r="F814" s="30">
        <f>IF(Database!B814="","",Database!F814)</f>
        <v/>
      </c>
      <c r="G814" s="30">
        <f>IF(Database!B814="","",Database!G814)</f>
        <v/>
      </c>
      <c r="H814" s="30">
        <f>IF(Database!B814="","",Database!C814)</f>
        <v/>
      </c>
      <c r="I814" s="30">
        <f>IF(Database!B814="","",Database!H814)</f>
        <v/>
      </c>
      <c r="J814" s="31" t="n"/>
      <c r="K814" s="88" t="n"/>
      <c r="L814" s="31" t="n"/>
      <c r="M814" s="31" t="n"/>
      <c r="N814" s="31" t="n"/>
      <c r="O814" s="32" t="n"/>
    </row>
    <row r="815">
      <c r="A815" s="30">
        <f>IF(Database!B815="","",ROW()-1)</f>
        <v/>
      </c>
      <c r="B815" s="30">
        <f>IF(Database!B815="","",Database!B815)</f>
        <v/>
      </c>
      <c r="C815" s="87">
        <f>IF(Database!B815="","",Database!A815)</f>
        <v/>
      </c>
      <c r="D815" s="30">
        <f>IF(Database!B815="","",Database!D815)</f>
        <v/>
      </c>
      <c r="E815" s="30">
        <f>IF(Database!B815="","",Database!E815)</f>
        <v/>
      </c>
      <c r="F815" s="30">
        <f>IF(Database!B815="","",Database!F815)</f>
        <v/>
      </c>
      <c r="G815" s="30">
        <f>IF(Database!B815="","",Database!G815)</f>
        <v/>
      </c>
      <c r="H815" s="30">
        <f>IF(Database!B815="","",Database!C815)</f>
        <v/>
      </c>
      <c r="I815" s="30">
        <f>IF(Database!B815="","",Database!H815)</f>
        <v/>
      </c>
      <c r="J815" s="31" t="n"/>
      <c r="K815" s="88" t="n"/>
      <c r="L815" s="31" t="n"/>
      <c r="M815" s="31" t="n"/>
      <c r="N815" s="31" t="n"/>
      <c r="O815" s="32" t="n"/>
    </row>
    <row r="816">
      <c r="A816" s="30">
        <f>IF(Database!B816="","",ROW()-1)</f>
        <v/>
      </c>
      <c r="B816" s="30">
        <f>IF(Database!B816="","",Database!B816)</f>
        <v/>
      </c>
      <c r="C816" s="87">
        <f>IF(Database!B816="","",Database!A816)</f>
        <v/>
      </c>
      <c r="D816" s="30">
        <f>IF(Database!B816="","",Database!D816)</f>
        <v/>
      </c>
      <c r="E816" s="30">
        <f>IF(Database!B816="","",Database!E816)</f>
        <v/>
      </c>
      <c r="F816" s="30">
        <f>IF(Database!B816="","",Database!F816)</f>
        <v/>
      </c>
      <c r="G816" s="30">
        <f>IF(Database!B816="","",Database!G816)</f>
        <v/>
      </c>
      <c r="H816" s="30">
        <f>IF(Database!B816="","",Database!C816)</f>
        <v/>
      </c>
      <c r="I816" s="30">
        <f>IF(Database!B816="","",Database!H816)</f>
        <v/>
      </c>
      <c r="J816" s="31" t="n"/>
      <c r="K816" s="88" t="n"/>
      <c r="L816" s="31" t="n"/>
      <c r="M816" s="31" t="n"/>
      <c r="N816" s="31" t="n"/>
      <c r="O816" s="32" t="n"/>
    </row>
    <row r="817">
      <c r="A817" s="30">
        <f>IF(Database!B817="","",ROW()-1)</f>
        <v/>
      </c>
      <c r="B817" s="30">
        <f>IF(Database!B817="","",Database!B817)</f>
        <v/>
      </c>
      <c r="C817" s="87">
        <f>IF(Database!B817="","",Database!A817)</f>
        <v/>
      </c>
      <c r="D817" s="30">
        <f>IF(Database!B817="","",Database!D817)</f>
        <v/>
      </c>
      <c r="E817" s="30">
        <f>IF(Database!B817="","",Database!E817)</f>
        <v/>
      </c>
      <c r="F817" s="30">
        <f>IF(Database!B817="","",Database!F817)</f>
        <v/>
      </c>
      <c r="G817" s="30">
        <f>IF(Database!B817="","",Database!G817)</f>
        <v/>
      </c>
      <c r="H817" s="30">
        <f>IF(Database!B817="","",Database!C817)</f>
        <v/>
      </c>
      <c r="I817" s="30">
        <f>IF(Database!B817="","",Database!H817)</f>
        <v/>
      </c>
      <c r="J817" s="31" t="n"/>
      <c r="K817" s="88" t="n"/>
      <c r="L817" s="31" t="n"/>
      <c r="M817" s="31" t="n"/>
      <c r="N817" s="31" t="n"/>
      <c r="O817" s="32" t="n"/>
    </row>
    <row r="818">
      <c r="A818" s="30">
        <f>IF(Database!B818="","",ROW()-1)</f>
        <v/>
      </c>
      <c r="B818" s="30">
        <f>IF(Database!B818="","",Database!B818)</f>
        <v/>
      </c>
      <c r="C818" s="87">
        <f>IF(Database!B818="","",Database!A818)</f>
        <v/>
      </c>
      <c r="D818" s="30">
        <f>IF(Database!B818="","",Database!D818)</f>
        <v/>
      </c>
      <c r="E818" s="30">
        <f>IF(Database!B818="","",Database!E818)</f>
        <v/>
      </c>
      <c r="F818" s="30">
        <f>IF(Database!B818="","",Database!F818)</f>
        <v/>
      </c>
      <c r="G818" s="30">
        <f>IF(Database!B818="","",Database!G818)</f>
        <v/>
      </c>
      <c r="H818" s="30">
        <f>IF(Database!B818="","",Database!C818)</f>
        <v/>
      </c>
      <c r="I818" s="30">
        <f>IF(Database!B818="","",Database!H818)</f>
        <v/>
      </c>
      <c r="J818" s="31" t="n"/>
      <c r="K818" s="88" t="n"/>
      <c r="L818" s="31" t="n"/>
      <c r="M818" s="31" t="n"/>
      <c r="N818" s="31" t="n"/>
      <c r="O818" s="32" t="n"/>
    </row>
    <row r="819">
      <c r="A819" s="30">
        <f>IF(Database!B819="","",ROW()-1)</f>
        <v/>
      </c>
      <c r="B819" s="30">
        <f>IF(Database!B819="","",Database!B819)</f>
        <v/>
      </c>
      <c r="C819" s="87">
        <f>IF(Database!B819="","",Database!A819)</f>
        <v/>
      </c>
      <c r="D819" s="30">
        <f>IF(Database!B819="","",Database!D819)</f>
        <v/>
      </c>
      <c r="E819" s="30">
        <f>IF(Database!B819="","",Database!E819)</f>
        <v/>
      </c>
      <c r="F819" s="30">
        <f>IF(Database!B819="","",Database!F819)</f>
        <v/>
      </c>
      <c r="G819" s="30">
        <f>IF(Database!B819="","",Database!G819)</f>
        <v/>
      </c>
      <c r="H819" s="30">
        <f>IF(Database!B819="","",Database!C819)</f>
        <v/>
      </c>
      <c r="I819" s="30">
        <f>IF(Database!B819="","",Database!H819)</f>
        <v/>
      </c>
      <c r="J819" s="31" t="n"/>
      <c r="K819" s="88" t="n"/>
      <c r="L819" s="31" t="n"/>
      <c r="M819" s="31" t="n"/>
      <c r="N819" s="31" t="n"/>
      <c r="O819" s="32" t="n"/>
    </row>
    <row r="820">
      <c r="A820" s="30">
        <f>IF(Database!B820="","",ROW()-1)</f>
        <v/>
      </c>
      <c r="B820" s="30">
        <f>IF(Database!B820="","",Database!B820)</f>
        <v/>
      </c>
      <c r="C820" s="87">
        <f>IF(Database!B820="","",Database!A820)</f>
        <v/>
      </c>
      <c r="D820" s="30">
        <f>IF(Database!B820="","",Database!D820)</f>
        <v/>
      </c>
      <c r="E820" s="30">
        <f>IF(Database!B820="","",Database!E820)</f>
        <v/>
      </c>
      <c r="F820" s="30">
        <f>IF(Database!B820="","",Database!F820)</f>
        <v/>
      </c>
      <c r="G820" s="30">
        <f>IF(Database!B820="","",Database!G820)</f>
        <v/>
      </c>
      <c r="H820" s="30">
        <f>IF(Database!B820="","",Database!C820)</f>
        <v/>
      </c>
      <c r="I820" s="30">
        <f>IF(Database!B820="","",Database!H820)</f>
        <v/>
      </c>
      <c r="J820" s="31" t="n"/>
      <c r="K820" s="88" t="n"/>
      <c r="L820" s="31" t="n"/>
      <c r="M820" s="31" t="n"/>
      <c r="N820" s="31" t="n"/>
      <c r="O820" s="32" t="n"/>
    </row>
    <row r="821">
      <c r="A821" s="30">
        <f>IF(Database!B821="","",ROW()-1)</f>
        <v/>
      </c>
      <c r="B821" s="30">
        <f>IF(Database!B821="","",Database!B821)</f>
        <v/>
      </c>
      <c r="C821" s="87">
        <f>IF(Database!B821="","",Database!A821)</f>
        <v/>
      </c>
      <c r="D821" s="30">
        <f>IF(Database!B821="","",Database!D821)</f>
        <v/>
      </c>
      <c r="E821" s="30">
        <f>IF(Database!B821="","",Database!E821)</f>
        <v/>
      </c>
      <c r="F821" s="30">
        <f>IF(Database!B821="","",Database!F821)</f>
        <v/>
      </c>
      <c r="G821" s="30">
        <f>IF(Database!B821="","",Database!G821)</f>
        <v/>
      </c>
      <c r="H821" s="30">
        <f>IF(Database!B821="","",Database!C821)</f>
        <v/>
      </c>
      <c r="I821" s="30">
        <f>IF(Database!B821="","",Database!H821)</f>
        <v/>
      </c>
      <c r="J821" s="31" t="n"/>
      <c r="K821" s="88" t="n"/>
      <c r="L821" s="31" t="n"/>
      <c r="M821" s="31" t="n"/>
      <c r="N821" s="31" t="n"/>
      <c r="O821" s="32" t="n"/>
    </row>
    <row r="822">
      <c r="A822" s="30">
        <f>IF(Database!B822="","",ROW()-1)</f>
        <v/>
      </c>
      <c r="B822" s="30">
        <f>IF(Database!B822="","",Database!B822)</f>
        <v/>
      </c>
      <c r="C822" s="87">
        <f>IF(Database!B822="","",Database!A822)</f>
        <v/>
      </c>
      <c r="D822" s="30">
        <f>IF(Database!B822="","",Database!D822)</f>
        <v/>
      </c>
      <c r="E822" s="30">
        <f>IF(Database!B822="","",Database!E822)</f>
        <v/>
      </c>
      <c r="F822" s="30">
        <f>IF(Database!B822="","",Database!F822)</f>
        <v/>
      </c>
      <c r="G822" s="30">
        <f>IF(Database!B822="","",Database!G822)</f>
        <v/>
      </c>
      <c r="H822" s="30">
        <f>IF(Database!B822="","",Database!C822)</f>
        <v/>
      </c>
      <c r="I822" s="30">
        <f>IF(Database!B822="","",Database!H822)</f>
        <v/>
      </c>
      <c r="J822" s="31" t="n"/>
      <c r="K822" s="88" t="n"/>
      <c r="L822" s="31" t="n"/>
      <c r="M822" s="31" t="n"/>
      <c r="N822" s="31" t="n"/>
      <c r="O822" s="32" t="n"/>
    </row>
    <row r="823">
      <c r="A823" s="30">
        <f>IF(Database!B823="","",ROW()-1)</f>
        <v/>
      </c>
      <c r="B823" s="30">
        <f>IF(Database!B823="","",Database!B823)</f>
        <v/>
      </c>
      <c r="C823" s="87">
        <f>IF(Database!B823="","",Database!A823)</f>
        <v/>
      </c>
      <c r="D823" s="30">
        <f>IF(Database!B823="","",Database!D823)</f>
        <v/>
      </c>
      <c r="E823" s="30">
        <f>IF(Database!B823="","",Database!E823)</f>
        <v/>
      </c>
      <c r="F823" s="30">
        <f>IF(Database!B823="","",Database!F823)</f>
        <v/>
      </c>
      <c r="G823" s="30">
        <f>IF(Database!B823="","",Database!G823)</f>
        <v/>
      </c>
      <c r="H823" s="30">
        <f>IF(Database!B823="","",Database!C823)</f>
        <v/>
      </c>
      <c r="I823" s="30">
        <f>IF(Database!B823="","",Database!H823)</f>
        <v/>
      </c>
      <c r="J823" s="31" t="n"/>
      <c r="K823" s="88" t="n"/>
      <c r="L823" s="31" t="n"/>
      <c r="M823" s="31" t="n"/>
      <c r="N823" s="31" t="n"/>
      <c r="O823" s="32" t="n"/>
    </row>
    <row r="824">
      <c r="A824" s="30">
        <f>IF(Database!B824="","",ROW()-1)</f>
        <v/>
      </c>
      <c r="B824" s="30">
        <f>IF(Database!B824="","",Database!B824)</f>
        <v/>
      </c>
      <c r="C824" s="87">
        <f>IF(Database!B824="","",Database!A824)</f>
        <v/>
      </c>
      <c r="D824" s="30">
        <f>IF(Database!B824="","",Database!D824)</f>
        <v/>
      </c>
      <c r="E824" s="30">
        <f>IF(Database!B824="","",Database!E824)</f>
        <v/>
      </c>
      <c r="F824" s="30">
        <f>IF(Database!B824="","",Database!F824)</f>
        <v/>
      </c>
      <c r="G824" s="30">
        <f>IF(Database!B824="","",Database!G824)</f>
        <v/>
      </c>
      <c r="H824" s="30">
        <f>IF(Database!B824="","",Database!C824)</f>
        <v/>
      </c>
      <c r="I824" s="30">
        <f>IF(Database!B824="","",Database!H824)</f>
        <v/>
      </c>
      <c r="J824" s="31" t="n"/>
      <c r="K824" s="88" t="n"/>
      <c r="L824" s="31" t="n"/>
      <c r="M824" s="31" t="n"/>
      <c r="N824" s="31" t="n"/>
      <c r="O824" s="32" t="n"/>
    </row>
    <row r="825">
      <c r="A825" s="30">
        <f>IF(Database!B825="","",ROW()-1)</f>
        <v/>
      </c>
      <c r="B825" s="30">
        <f>IF(Database!B825="","",Database!B825)</f>
        <v/>
      </c>
      <c r="C825" s="87">
        <f>IF(Database!B825="","",Database!A825)</f>
        <v/>
      </c>
      <c r="D825" s="30">
        <f>IF(Database!B825="","",Database!D825)</f>
        <v/>
      </c>
      <c r="E825" s="30">
        <f>IF(Database!B825="","",Database!E825)</f>
        <v/>
      </c>
      <c r="F825" s="30">
        <f>IF(Database!B825="","",Database!F825)</f>
        <v/>
      </c>
      <c r="G825" s="30">
        <f>IF(Database!B825="","",Database!G825)</f>
        <v/>
      </c>
      <c r="H825" s="30">
        <f>IF(Database!B825="","",Database!C825)</f>
        <v/>
      </c>
      <c r="I825" s="30">
        <f>IF(Database!B825="","",Database!H825)</f>
        <v/>
      </c>
      <c r="J825" s="31" t="n"/>
      <c r="K825" s="88" t="n"/>
      <c r="L825" s="31" t="n"/>
      <c r="M825" s="31" t="n"/>
      <c r="N825" s="31" t="n"/>
      <c r="O825" s="32" t="n"/>
    </row>
    <row r="826">
      <c r="A826" s="30">
        <f>IF(Database!B826="","",ROW()-1)</f>
        <v/>
      </c>
      <c r="B826" s="30">
        <f>IF(Database!B826="","",Database!B826)</f>
        <v/>
      </c>
      <c r="C826" s="87">
        <f>IF(Database!B826="","",Database!A826)</f>
        <v/>
      </c>
      <c r="D826" s="30">
        <f>IF(Database!B826="","",Database!D826)</f>
        <v/>
      </c>
      <c r="E826" s="30">
        <f>IF(Database!B826="","",Database!E826)</f>
        <v/>
      </c>
      <c r="F826" s="30">
        <f>IF(Database!B826="","",Database!F826)</f>
        <v/>
      </c>
      <c r="G826" s="30">
        <f>IF(Database!B826="","",Database!G826)</f>
        <v/>
      </c>
      <c r="H826" s="30">
        <f>IF(Database!B826="","",Database!C826)</f>
        <v/>
      </c>
      <c r="I826" s="30">
        <f>IF(Database!B826="","",Database!H826)</f>
        <v/>
      </c>
      <c r="J826" s="31" t="n"/>
      <c r="K826" s="88" t="n"/>
      <c r="L826" s="31" t="n"/>
      <c r="M826" s="31" t="n"/>
      <c r="N826" s="31" t="n"/>
      <c r="O826" s="32" t="n"/>
    </row>
    <row r="827">
      <c r="A827" s="30">
        <f>IF(Database!B827="","",ROW()-1)</f>
        <v/>
      </c>
      <c r="B827" s="30">
        <f>IF(Database!B827="","",Database!B827)</f>
        <v/>
      </c>
      <c r="C827" s="87">
        <f>IF(Database!B827="","",Database!A827)</f>
        <v/>
      </c>
      <c r="D827" s="30">
        <f>IF(Database!B827="","",Database!D827)</f>
        <v/>
      </c>
      <c r="E827" s="30">
        <f>IF(Database!B827="","",Database!E827)</f>
        <v/>
      </c>
      <c r="F827" s="30">
        <f>IF(Database!B827="","",Database!F827)</f>
        <v/>
      </c>
      <c r="G827" s="30">
        <f>IF(Database!B827="","",Database!G827)</f>
        <v/>
      </c>
      <c r="H827" s="30">
        <f>IF(Database!B827="","",Database!C827)</f>
        <v/>
      </c>
      <c r="I827" s="30">
        <f>IF(Database!B827="","",Database!H827)</f>
        <v/>
      </c>
      <c r="J827" s="31" t="n"/>
      <c r="K827" s="88" t="n"/>
      <c r="L827" s="31" t="n"/>
      <c r="M827" s="31" t="n"/>
      <c r="N827" s="31" t="n"/>
      <c r="O827" s="32" t="n"/>
    </row>
    <row r="828">
      <c r="A828" s="30">
        <f>IF(Database!B828="","",ROW()-1)</f>
        <v/>
      </c>
      <c r="B828" s="30">
        <f>IF(Database!B828="","",Database!B828)</f>
        <v/>
      </c>
      <c r="C828" s="87">
        <f>IF(Database!B828="","",Database!A828)</f>
        <v/>
      </c>
      <c r="D828" s="30">
        <f>IF(Database!B828="","",Database!D828)</f>
        <v/>
      </c>
      <c r="E828" s="30">
        <f>IF(Database!B828="","",Database!E828)</f>
        <v/>
      </c>
      <c r="F828" s="30">
        <f>IF(Database!B828="","",Database!F828)</f>
        <v/>
      </c>
      <c r="G828" s="30">
        <f>IF(Database!B828="","",Database!G828)</f>
        <v/>
      </c>
      <c r="H828" s="30">
        <f>IF(Database!B828="","",Database!C828)</f>
        <v/>
      </c>
      <c r="I828" s="30">
        <f>IF(Database!B828="","",Database!H828)</f>
        <v/>
      </c>
      <c r="J828" s="31" t="n"/>
      <c r="K828" s="88" t="n"/>
      <c r="L828" s="31" t="n"/>
      <c r="M828" s="31" t="n"/>
      <c r="N828" s="31" t="n"/>
      <c r="O828" s="32" t="n"/>
    </row>
    <row r="829">
      <c r="A829" s="30">
        <f>IF(Database!B829="","",ROW()-1)</f>
        <v/>
      </c>
      <c r="B829" s="30">
        <f>IF(Database!B829="","",Database!B829)</f>
        <v/>
      </c>
      <c r="C829" s="87">
        <f>IF(Database!B829="","",Database!A829)</f>
        <v/>
      </c>
      <c r="D829" s="30">
        <f>IF(Database!B829="","",Database!D829)</f>
        <v/>
      </c>
      <c r="E829" s="30">
        <f>IF(Database!B829="","",Database!E829)</f>
        <v/>
      </c>
      <c r="F829" s="30">
        <f>IF(Database!B829="","",Database!F829)</f>
        <v/>
      </c>
      <c r="G829" s="30">
        <f>IF(Database!B829="","",Database!G829)</f>
        <v/>
      </c>
      <c r="H829" s="30">
        <f>IF(Database!B829="","",Database!C829)</f>
        <v/>
      </c>
      <c r="I829" s="30">
        <f>IF(Database!B829="","",Database!H829)</f>
        <v/>
      </c>
      <c r="J829" s="31" t="n"/>
      <c r="K829" s="88" t="n"/>
      <c r="L829" s="31" t="n"/>
      <c r="M829" s="31" t="n"/>
      <c r="N829" s="31" t="n"/>
      <c r="O829" s="32" t="n"/>
    </row>
    <row r="830">
      <c r="A830" s="30">
        <f>IF(Database!B830="","",ROW()-1)</f>
        <v/>
      </c>
      <c r="B830" s="30">
        <f>IF(Database!B830="","",Database!B830)</f>
        <v/>
      </c>
      <c r="C830" s="87">
        <f>IF(Database!B830="","",Database!A830)</f>
        <v/>
      </c>
      <c r="D830" s="30">
        <f>IF(Database!B830="","",Database!D830)</f>
        <v/>
      </c>
      <c r="E830" s="30">
        <f>IF(Database!B830="","",Database!E830)</f>
        <v/>
      </c>
      <c r="F830" s="30">
        <f>IF(Database!B830="","",Database!F830)</f>
        <v/>
      </c>
      <c r="G830" s="30">
        <f>IF(Database!B830="","",Database!G830)</f>
        <v/>
      </c>
      <c r="H830" s="30">
        <f>IF(Database!B830="","",Database!C830)</f>
        <v/>
      </c>
      <c r="I830" s="30">
        <f>IF(Database!B830="","",Database!H830)</f>
        <v/>
      </c>
      <c r="J830" s="31" t="n"/>
      <c r="K830" s="88" t="n"/>
      <c r="L830" s="31" t="n"/>
      <c r="M830" s="31" t="n"/>
      <c r="N830" s="31" t="n"/>
      <c r="O830" s="32" t="n"/>
    </row>
    <row r="831">
      <c r="A831" s="30">
        <f>IF(Database!B831="","",ROW()-1)</f>
        <v/>
      </c>
      <c r="B831" s="30">
        <f>IF(Database!B831="","",Database!B831)</f>
        <v/>
      </c>
      <c r="C831" s="87">
        <f>IF(Database!B831="","",Database!A831)</f>
        <v/>
      </c>
      <c r="D831" s="30">
        <f>IF(Database!B831="","",Database!D831)</f>
        <v/>
      </c>
      <c r="E831" s="30">
        <f>IF(Database!B831="","",Database!E831)</f>
        <v/>
      </c>
      <c r="F831" s="30">
        <f>IF(Database!B831="","",Database!F831)</f>
        <v/>
      </c>
      <c r="G831" s="30">
        <f>IF(Database!B831="","",Database!G831)</f>
        <v/>
      </c>
      <c r="H831" s="30">
        <f>IF(Database!B831="","",Database!C831)</f>
        <v/>
      </c>
      <c r="I831" s="30">
        <f>IF(Database!B831="","",Database!H831)</f>
        <v/>
      </c>
      <c r="J831" s="31" t="n"/>
      <c r="K831" s="88" t="n"/>
      <c r="L831" s="31" t="n"/>
      <c r="M831" s="31" t="n"/>
      <c r="N831" s="31" t="n"/>
      <c r="O831" s="32" t="n"/>
    </row>
    <row r="832">
      <c r="A832" s="30">
        <f>IF(Database!B832="","",ROW()-1)</f>
        <v/>
      </c>
      <c r="B832" s="30">
        <f>IF(Database!B832="","",Database!B832)</f>
        <v/>
      </c>
      <c r="C832" s="87">
        <f>IF(Database!B832="","",Database!A832)</f>
        <v/>
      </c>
      <c r="D832" s="30">
        <f>IF(Database!B832="","",Database!D832)</f>
        <v/>
      </c>
      <c r="E832" s="30">
        <f>IF(Database!B832="","",Database!E832)</f>
        <v/>
      </c>
      <c r="F832" s="30">
        <f>IF(Database!B832="","",Database!F832)</f>
        <v/>
      </c>
      <c r="G832" s="30">
        <f>IF(Database!B832="","",Database!G832)</f>
        <v/>
      </c>
      <c r="H832" s="30">
        <f>IF(Database!B832="","",Database!C832)</f>
        <v/>
      </c>
      <c r="I832" s="30">
        <f>IF(Database!B832="","",Database!H832)</f>
        <v/>
      </c>
      <c r="J832" s="31" t="n"/>
      <c r="K832" s="88" t="n"/>
      <c r="L832" s="31" t="n"/>
      <c r="M832" s="31" t="n"/>
      <c r="N832" s="31" t="n"/>
      <c r="O832" s="32" t="n"/>
    </row>
    <row r="833">
      <c r="A833" s="30">
        <f>IF(Database!B833="","",ROW()-1)</f>
        <v/>
      </c>
      <c r="B833" s="30">
        <f>IF(Database!B833="","",Database!B833)</f>
        <v/>
      </c>
      <c r="C833" s="87">
        <f>IF(Database!B833="","",Database!A833)</f>
        <v/>
      </c>
      <c r="D833" s="30">
        <f>IF(Database!B833="","",Database!D833)</f>
        <v/>
      </c>
      <c r="E833" s="30">
        <f>IF(Database!B833="","",Database!E833)</f>
        <v/>
      </c>
      <c r="F833" s="30">
        <f>IF(Database!B833="","",Database!F833)</f>
        <v/>
      </c>
      <c r="G833" s="30">
        <f>IF(Database!B833="","",Database!G833)</f>
        <v/>
      </c>
      <c r="H833" s="30">
        <f>IF(Database!B833="","",Database!C833)</f>
        <v/>
      </c>
      <c r="I833" s="30">
        <f>IF(Database!B833="","",Database!H833)</f>
        <v/>
      </c>
      <c r="J833" s="31" t="n"/>
      <c r="K833" s="88" t="n"/>
      <c r="L833" s="31" t="n"/>
      <c r="M833" s="31" t="n"/>
      <c r="N833" s="31" t="n"/>
      <c r="O833" s="32" t="n"/>
    </row>
    <row r="834">
      <c r="A834" s="30">
        <f>IF(Database!B834="","",ROW()-1)</f>
        <v/>
      </c>
      <c r="B834" s="30">
        <f>IF(Database!B834="","",Database!B834)</f>
        <v/>
      </c>
      <c r="C834" s="87">
        <f>IF(Database!B834="","",Database!A834)</f>
        <v/>
      </c>
      <c r="D834" s="30">
        <f>IF(Database!B834="","",Database!D834)</f>
        <v/>
      </c>
      <c r="E834" s="30">
        <f>IF(Database!B834="","",Database!E834)</f>
        <v/>
      </c>
      <c r="F834" s="30">
        <f>IF(Database!B834="","",Database!F834)</f>
        <v/>
      </c>
      <c r="G834" s="30">
        <f>IF(Database!B834="","",Database!G834)</f>
        <v/>
      </c>
      <c r="H834" s="30">
        <f>IF(Database!B834="","",Database!C834)</f>
        <v/>
      </c>
      <c r="I834" s="30">
        <f>IF(Database!B834="","",Database!H834)</f>
        <v/>
      </c>
      <c r="J834" s="31" t="n"/>
      <c r="K834" s="88" t="n"/>
      <c r="L834" s="31" t="n"/>
      <c r="M834" s="31" t="n"/>
      <c r="N834" s="31" t="n"/>
      <c r="O834" s="32" t="n"/>
    </row>
    <row r="835">
      <c r="A835" s="30">
        <f>IF(Database!B835="","",ROW()-1)</f>
        <v/>
      </c>
      <c r="B835" s="30">
        <f>IF(Database!B835="","",Database!B835)</f>
        <v/>
      </c>
      <c r="C835" s="87">
        <f>IF(Database!B835="","",Database!A835)</f>
        <v/>
      </c>
      <c r="D835" s="30">
        <f>IF(Database!B835="","",Database!D835)</f>
        <v/>
      </c>
      <c r="E835" s="30">
        <f>IF(Database!B835="","",Database!E835)</f>
        <v/>
      </c>
      <c r="F835" s="30">
        <f>IF(Database!B835="","",Database!F835)</f>
        <v/>
      </c>
      <c r="G835" s="30">
        <f>IF(Database!B835="","",Database!G835)</f>
        <v/>
      </c>
      <c r="H835" s="30">
        <f>IF(Database!B835="","",Database!C835)</f>
        <v/>
      </c>
      <c r="I835" s="30">
        <f>IF(Database!B835="","",Database!H835)</f>
        <v/>
      </c>
      <c r="J835" s="31" t="n"/>
      <c r="K835" s="88" t="n"/>
      <c r="L835" s="31" t="n"/>
      <c r="M835" s="31" t="n"/>
      <c r="N835" s="31" t="n"/>
      <c r="O835" s="32" t="n"/>
    </row>
    <row r="836">
      <c r="A836" s="30">
        <f>IF(Database!B836="","",ROW()-1)</f>
        <v/>
      </c>
      <c r="B836" s="30">
        <f>IF(Database!B836="","",Database!B836)</f>
        <v/>
      </c>
      <c r="C836" s="87">
        <f>IF(Database!B836="","",Database!A836)</f>
        <v/>
      </c>
      <c r="D836" s="30">
        <f>IF(Database!B836="","",Database!D836)</f>
        <v/>
      </c>
      <c r="E836" s="30">
        <f>IF(Database!B836="","",Database!E836)</f>
        <v/>
      </c>
      <c r="F836" s="30">
        <f>IF(Database!B836="","",Database!F836)</f>
        <v/>
      </c>
      <c r="G836" s="30">
        <f>IF(Database!B836="","",Database!G836)</f>
        <v/>
      </c>
      <c r="H836" s="30">
        <f>IF(Database!B836="","",Database!C836)</f>
        <v/>
      </c>
      <c r="I836" s="30">
        <f>IF(Database!B836="","",Database!H836)</f>
        <v/>
      </c>
      <c r="J836" s="31" t="n"/>
      <c r="K836" s="88" t="n"/>
      <c r="L836" s="31" t="n"/>
      <c r="M836" s="31" t="n"/>
      <c r="N836" s="31" t="n"/>
      <c r="O836" s="32" t="n"/>
    </row>
    <row r="837">
      <c r="A837" s="30">
        <f>IF(Database!B837="","",ROW()-1)</f>
        <v/>
      </c>
      <c r="B837" s="30">
        <f>IF(Database!B837="","",Database!B837)</f>
        <v/>
      </c>
      <c r="C837" s="87">
        <f>IF(Database!B837="","",Database!A837)</f>
        <v/>
      </c>
      <c r="D837" s="30">
        <f>IF(Database!B837="","",Database!D837)</f>
        <v/>
      </c>
      <c r="E837" s="30">
        <f>IF(Database!B837="","",Database!E837)</f>
        <v/>
      </c>
      <c r="F837" s="30">
        <f>IF(Database!B837="","",Database!F837)</f>
        <v/>
      </c>
      <c r="G837" s="30">
        <f>IF(Database!B837="","",Database!G837)</f>
        <v/>
      </c>
      <c r="H837" s="30">
        <f>IF(Database!B837="","",Database!C837)</f>
        <v/>
      </c>
      <c r="I837" s="30">
        <f>IF(Database!B837="","",Database!H837)</f>
        <v/>
      </c>
      <c r="J837" s="31" t="n"/>
      <c r="K837" s="88" t="n"/>
      <c r="L837" s="31" t="n"/>
      <c r="M837" s="31" t="n"/>
      <c r="N837" s="31" t="n"/>
      <c r="O837" s="32" t="n"/>
    </row>
    <row r="838">
      <c r="A838" s="30">
        <f>IF(Database!B838="","",ROW()-1)</f>
        <v/>
      </c>
      <c r="B838" s="30">
        <f>IF(Database!B838="","",Database!B838)</f>
        <v/>
      </c>
      <c r="C838" s="87">
        <f>IF(Database!B838="","",Database!A838)</f>
        <v/>
      </c>
      <c r="D838" s="30">
        <f>IF(Database!B838="","",Database!D838)</f>
        <v/>
      </c>
      <c r="E838" s="30">
        <f>IF(Database!B838="","",Database!E838)</f>
        <v/>
      </c>
      <c r="F838" s="30">
        <f>IF(Database!B838="","",Database!F838)</f>
        <v/>
      </c>
      <c r="G838" s="30">
        <f>IF(Database!B838="","",Database!G838)</f>
        <v/>
      </c>
      <c r="H838" s="30">
        <f>IF(Database!B838="","",Database!C838)</f>
        <v/>
      </c>
      <c r="I838" s="30">
        <f>IF(Database!B838="","",Database!H838)</f>
        <v/>
      </c>
      <c r="J838" s="31" t="n"/>
      <c r="K838" s="88" t="n"/>
      <c r="L838" s="31" t="n"/>
      <c r="M838" s="31" t="n"/>
      <c r="N838" s="31" t="n"/>
      <c r="O838" s="32" t="n"/>
    </row>
    <row r="839">
      <c r="A839" s="30">
        <f>IF(Database!B839="","",ROW()-1)</f>
        <v/>
      </c>
      <c r="B839" s="30">
        <f>IF(Database!B839="","",Database!B839)</f>
        <v/>
      </c>
      <c r="C839" s="87">
        <f>IF(Database!B839="","",Database!A839)</f>
        <v/>
      </c>
      <c r="D839" s="30">
        <f>IF(Database!B839="","",Database!D839)</f>
        <v/>
      </c>
      <c r="E839" s="30">
        <f>IF(Database!B839="","",Database!E839)</f>
        <v/>
      </c>
      <c r="F839" s="30">
        <f>IF(Database!B839="","",Database!F839)</f>
        <v/>
      </c>
      <c r="G839" s="30">
        <f>IF(Database!B839="","",Database!G839)</f>
        <v/>
      </c>
      <c r="H839" s="30">
        <f>IF(Database!B839="","",Database!C839)</f>
        <v/>
      </c>
      <c r="I839" s="30">
        <f>IF(Database!B839="","",Database!H839)</f>
        <v/>
      </c>
      <c r="J839" s="31" t="n"/>
      <c r="K839" s="88" t="n"/>
      <c r="L839" s="31" t="n"/>
      <c r="M839" s="31" t="n"/>
      <c r="N839" s="31" t="n"/>
      <c r="O839" s="32" t="n"/>
    </row>
    <row r="840">
      <c r="A840" s="30">
        <f>IF(Database!B840="","",ROW()-1)</f>
        <v/>
      </c>
      <c r="B840" s="30">
        <f>IF(Database!B840="","",Database!B840)</f>
        <v/>
      </c>
      <c r="C840" s="87">
        <f>IF(Database!B840="","",Database!A840)</f>
        <v/>
      </c>
      <c r="D840" s="30">
        <f>IF(Database!B840="","",Database!D840)</f>
        <v/>
      </c>
      <c r="E840" s="30">
        <f>IF(Database!B840="","",Database!E840)</f>
        <v/>
      </c>
      <c r="F840" s="30">
        <f>IF(Database!B840="","",Database!F840)</f>
        <v/>
      </c>
      <c r="G840" s="30">
        <f>IF(Database!B840="","",Database!G840)</f>
        <v/>
      </c>
      <c r="H840" s="30">
        <f>IF(Database!B840="","",Database!C840)</f>
        <v/>
      </c>
      <c r="I840" s="30">
        <f>IF(Database!B840="","",Database!H840)</f>
        <v/>
      </c>
      <c r="J840" s="31" t="n"/>
      <c r="K840" s="88" t="n"/>
      <c r="L840" s="31" t="n"/>
      <c r="M840" s="31" t="n"/>
      <c r="N840" s="31" t="n"/>
      <c r="O840" s="32" t="n"/>
    </row>
    <row r="841">
      <c r="A841" s="30">
        <f>IF(Database!B841="","",ROW()-1)</f>
        <v/>
      </c>
      <c r="B841" s="30">
        <f>IF(Database!B841="","",Database!B841)</f>
        <v/>
      </c>
      <c r="C841" s="87">
        <f>IF(Database!B841="","",Database!A841)</f>
        <v/>
      </c>
      <c r="D841" s="30">
        <f>IF(Database!B841="","",Database!D841)</f>
        <v/>
      </c>
      <c r="E841" s="30">
        <f>IF(Database!B841="","",Database!E841)</f>
        <v/>
      </c>
      <c r="F841" s="30">
        <f>IF(Database!B841="","",Database!F841)</f>
        <v/>
      </c>
      <c r="G841" s="30">
        <f>IF(Database!B841="","",Database!G841)</f>
        <v/>
      </c>
      <c r="H841" s="30">
        <f>IF(Database!B841="","",Database!C841)</f>
        <v/>
      </c>
      <c r="I841" s="30">
        <f>IF(Database!B841="","",Database!H841)</f>
        <v/>
      </c>
      <c r="J841" s="31" t="n"/>
      <c r="K841" s="88" t="n"/>
      <c r="L841" s="31" t="n"/>
      <c r="M841" s="31" t="n"/>
      <c r="N841" s="31" t="n"/>
      <c r="O841" s="32" t="n"/>
    </row>
    <row r="842">
      <c r="A842" s="30">
        <f>IF(Database!B842="","",ROW()-1)</f>
        <v/>
      </c>
      <c r="B842" s="30">
        <f>IF(Database!B842="","",Database!B842)</f>
        <v/>
      </c>
      <c r="C842" s="87">
        <f>IF(Database!B842="","",Database!A842)</f>
        <v/>
      </c>
      <c r="D842" s="30">
        <f>IF(Database!B842="","",Database!D842)</f>
        <v/>
      </c>
      <c r="E842" s="30">
        <f>IF(Database!B842="","",Database!E842)</f>
        <v/>
      </c>
      <c r="F842" s="30">
        <f>IF(Database!B842="","",Database!F842)</f>
        <v/>
      </c>
      <c r="G842" s="30">
        <f>IF(Database!B842="","",Database!G842)</f>
        <v/>
      </c>
      <c r="H842" s="30">
        <f>IF(Database!B842="","",Database!C842)</f>
        <v/>
      </c>
      <c r="I842" s="30">
        <f>IF(Database!B842="","",Database!H842)</f>
        <v/>
      </c>
      <c r="J842" s="31" t="n"/>
      <c r="K842" s="88" t="n"/>
      <c r="L842" s="31" t="n"/>
      <c r="M842" s="31" t="n"/>
      <c r="N842" s="31" t="n"/>
      <c r="O842" s="32" t="n"/>
    </row>
    <row r="843">
      <c r="A843" s="30">
        <f>IF(Database!B843="","",ROW()-1)</f>
        <v/>
      </c>
      <c r="B843" s="30">
        <f>IF(Database!B843="","",Database!B843)</f>
        <v/>
      </c>
      <c r="C843" s="87">
        <f>IF(Database!B843="","",Database!A843)</f>
        <v/>
      </c>
      <c r="D843" s="30">
        <f>IF(Database!B843="","",Database!D843)</f>
        <v/>
      </c>
      <c r="E843" s="30">
        <f>IF(Database!B843="","",Database!E843)</f>
        <v/>
      </c>
      <c r="F843" s="30">
        <f>IF(Database!B843="","",Database!F843)</f>
        <v/>
      </c>
      <c r="G843" s="30">
        <f>IF(Database!B843="","",Database!G843)</f>
        <v/>
      </c>
      <c r="H843" s="30">
        <f>IF(Database!B843="","",Database!C843)</f>
        <v/>
      </c>
      <c r="I843" s="30">
        <f>IF(Database!B843="","",Database!H843)</f>
        <v/>
      </c>
      <c r="J843" s="31" t="n"/>
      <c r="K843" s="88" t="n"/>
      <c r="L843" s="31" t="n"/>
      <c r="M843" s="31" t="n"/>
      <c r="N843" s="31" t="n"/>
      <c r="O843" s="32" t="n"/>
    </row>
    <row r="844">
      <c r="A844" s="30">
        <f>IF(Database!B844="","",ROW()-1)</f>
        <v/>
      </c>
      <c r="B844" s="30">
        <f>IF(Database!B844="","",Database!B844)</f>
        <v/>
      </c>
      <c r="C844" s="87">
        <f>IF(Database!B844="","",Database!A844)</f>
        <v/>
      </c>
      <c r="D844" s="30">
        <f>IF(Database!B844="","",Database!D844)</f>
        <v/>
      </c>
      <c r="E844" s="30">
        <f>IF(Database!B844="","",Database!E844)</f>
        <v/>
      </c>
      <c r="F844" s="30">
        <f>IF(Database!B844="","",Database!F844)</f>
        <v/>
      </c>
      <c r="G844" s="30">
        <f>IF(Database!B844="","",Database!G844)</f>
        <v/>
      </c>
      <c r="H844" s="30">
        <f>IF(Database!B844="","",Database!C844)</f>
        <v/>
      </c>
      <c r="I844" s="30">
        <f>IF(Database!B844="","",Database!H844)</f>
        <v/>
      </c>
      <c r="J844" s="31" t="n"/>
      <c r="K844" s="88" t="n"/>
      <c r="L844" s="31" t="n"/>
      <c r="M844" s="31" t="n"/>
      <c r="N844" s="31" t="n"/>
      <c r="O844" s="32" t="n"/>
    </row>
    <row r="845">
      <c r="A845" s="30">
        <f>IF(Database!B845="","",ROW()-1)</f>
        <v/>
      </c>
      <c r="B845" s="30">
        <f>IF(Database!B845="","",Database!B845)</f>
        <v/>
      </c>
      <c r="C845" s="87">
        <f>IF(Database!B845="","",Database!A845)</f>
        <v/>
      </c>
      <c r="D845" s="30">
        <f>IF(Database!B845="","",Database!D845)</f>
        <v/>
      </c>
      <c r="E845" s="30">
        <f>IF(Database!B845="","",Database!E845)</f>
        <v/>
      </c>
      <c r="F845" s="30">
        <f>IF(Database!B845="","",Database!F845)</f>
        <v/>
      </c>
      <c r="G845" s="30">
        <f>IF(Database!B845="","",Database!G845)</f>
        <v/>
      </c>
      <c r="H845" s="30">
        <f>IF(Database!B845="","",Database!C845)</f>
        <v/>
      </c>
      <c r="I845" s="30">
        <f>IF(Database!B845="","",Database!H845)</f>
        <v/>
      </c>
      <c r="J845" s="31" t="n"/>
      <c r="K845" s="88" t="n"/>
      <c r="L845" s="31" t="n"/>
      <c r="M845" s="31" t="n"/>
      <c r="N845" s="31" t="n"/>
      <c r="O845" s="32" t="n"/>
    </row>
    <row r="846">
      <c r="A846" s="30">
        <f>IF(Database!B846="","",ROW()-1)</f>
        <v/>
      </c>
      <c r="B846" s="30">
        <f>IF(Database!B846="","",Database!B846)</f>
        <v/>
      </c>
      <c r="C846" s="87">
        <f>IF(Database!B846="","",Database!A846)</f>
        <v/>
      </c>
      <c r="D846" s="30">
        <f>IF(Database!B846="","",Database!D846)</f>
        <v/>
      </c>
      <c r="E846" s="30">
        <f>IF(Database!B846="","",Database!E846)</f>
        <v/>
      </c>
      <c r="F846" s="30">
        <f>IF(Database!B846="","",Database!F846)</f>
        <v/>
      </c>
      <c r="G846" s="30">
        <f>IF(Database!B846="","",Database!G846)</f>
        <v/>
      </c>
      <c r="H846" s="30">
        <f>IF(Database!B846="","",Database!C846)</f>
        <v/>
      </c>
      <c r="I846" s="30">
        <f>IF(Database!B846="","",Database!H846)</f>
        <v/>
      </c>
      <c r="J846" s="31" t="n"/>
      <c r="K846" s="88" t="n"/>
      <c r="L846" s="31" t="n"/>
      <c r="M846" s="31" t="n"/>
      <c r="N846" s="31" t="n"/>
      <c r="O846" s="32" t="n"/>
    </row>
    <row r="847">
      <c r="A847" s="30">
        <f>IF(Database!B847="","",ROW()-1)</f>
        <v/>
      </c>
      <c r="B847" s="30">
        <f>IF(Database!B847="","",Database!B847)</f>
        <v/>
      </c>
      <c r="C847" s="87">
        <f>IF(Database!B847="","",Database!A847)</f>
        <v/>
      </c>
      <c r="D847" s="30">
        <f>IF(Database!B847="","",Database!D847)</f>
        <v/>
      </c>
      <c r="E847" s="30">
        <f>IF(Database!B847="","",Database!E847)</f>
        <v/>
      </c>
      <c r="F847" s="30">
        <f>IF(Database!B847="","",Database!F847)</f>
        <v/>
      </c>
      <c r="G847" s="30">
        <f>IF(Database!B847="","",Database!G847)</f>
        <v/>
      </c>
      <c r="H847" s="30">
        <f>IF(Database!B847="","",Database!C847)</f>
        <v/>
      </c>
      <c r="I847" s="30">
        <f>IF(Database!B847="","",Database!H847)</f>
        <v/>
      </c>
      <c r="J847" s="31" t="n"/>
      <c r="K847" s="88" t="n"/>
      <c r="L847" s="31" t="n"/>
      <c r="M847" s="31" t="n"/>
      <c r="N847" s="31" t="n"/>
      <c r="O847" s="32" t="n"/>
    </row>
    <row r="848">
      <c r="A848" s="30">
        <f>IF(Database!B848="","",ROW()-1)</f>
        <v/>
      </c>
      <c r="B848" s="30">
        <f>IF(Database!B848="","",Database!B848)</f>
        <v/>
      </c>
      <c r="C848" s="87">
        <f>IF(Database!B848="","",Database!A848)</f>
        <v/>
      </c>
      <c r="D848" s="30">
        <f>IF(Database!B848="","",Database!D848)</f>
        <v/>
      </c>
      <c r="E848" s="30">
        <f>IF(Database!B848="","",Database!E848)</f>
        <v/>
      </c>
      <c r="F848" s="30">
        <f>IF(Database!B848="","",Database!F848)</f>
        <v/>
      </c>
      <c r="G848" s="30">
        <f>IF(Database!B848="","",Database!G848)</f>
        <v/>
      </c>
      <c r="H848" s="30">
        <f>IF(Database!B848="","",Database!C848)</f>
        <v/>
      </c>
      <c r="I848" s="30">
        <f>IF(Database!B848="","",Database!H848)</f>
        <v/>
      </c>
      <c r="J848" s="31" t="n"/>
      <c r="K848" s="88" t="n"/>
      <c r="L848" s="31" t="n"/>
      <c r="M848" s="31" t="n"/>
      <c r="N848" s="31" t="n"/>
      <c r="O848" s="32" t="n"/>
    </row>
    <row r="849">
      <c r="A849" s="30">
        <f>IF(Database!B849="","",ROW()-1)</f>
        <v/>
      </c>
      <c r="B849" s="30">
        <f>IF(Database!B849="","",Database!B849)</f>
        <v/>
      </c>
      <c r="C849" s="87">
        <f>IF(Database!B849="","",Database!A849)</f>
        <v/>
      </c>
      <c r="D849" s="30">
        <f>IF(Database!B849="","",Database!D849)</f>
        <v/>
      </c>
      <c r="E849" s="30">
        <f>IF(Database!B849="","",Database!E849)</f>
        <v/>
      </c>
      <c r="F849" s="30">
        <f>IF(Database!B849="","",Database!F849)</f>
        <v/>
      </c>
      <c r="G849" s="30">
        <f>IF(Database!B849="","",Database!G849)</f>
        <v/>
      </c>
      <c r="H849" s="30">
        <f>IF(Database!B849="","",Database!C849)</f>
        <v/>
      </c>
      <c r="I849" s="30">
        <f>IF(Database!B849="","",Database!H849)</f>
        <v/>
      </c>
      <c r="J849" s="31" t="n"/>
      <c r="K849" s="88" t="n"/>
      <c r="L849" s="31" t="n"/>
      <c r="M849" s="31" t="n"/>
      <c r="N849" s="31" t="n"/>
      <c r="O849" s="32" t="n"/>
    </row>
    <row r="850">
      <c r="A850" s="30">
        <f>IF(Database!B850="","",ROW()-1)</f>
        <v/>
      </c>
      <c r="B850" s="30">
        <f>IF(Database!B850="","",Database!B850)</f>
        <v/>
      </c>
      <c r="C850" s="87">
        <f>IF(Database!B850="","",Database!A850)</f>
        <v/>
      </c>
      <c r="D850" s="30">
        <f>IF(Database!B850="","",Database!D850)</f>
        <v/>
      </c>
      <c r="E850" s="30">
        <f>IF(Database!B850="","",Database!E850)</f>
        <v/>
      </c>
      <c r="F850" s="30">
        <f>IF(Database!B850="","",Database!F850)</f>
        <v/>
      </c>
      <c r="G850" s="30">
        <f>IF(Database!B850="","",Database!G850)</f>
        <v/>
      </c>
      <c r="H850" s="30">
        <f>IF(Database!B850="","",Database!C850)</f>
        <v/>
      </c>
      <c r="I850" s="30">
        <f>IF(Database!B850="","",Database!H850)</f>
        <v/>
      </c>
      <c r="J850" s="31" t="n"/>
      <c r="K850" s="88" t="n"/>
      <c r="L850" s="31" t="n"/>
      <c r="M850" s="31" t="n"/>
      <c r="N850" s="31" t="n"/>
      <c r="O850" s="32" t="n"/>
    </row>
    <row r="851">
      <c r="A851" s="30">
        <f>IF(Database!B851="","",ROW()-1)</f>
        <v/>
      </c>
      <c r="B851" s="30">
        <f>IF(Database!B851="","",Database!B851)</f>
        <v/>
      </c>
      <c r="C851" s="87">
        <f>IF(Database!B851="","",Database!A851)</f>
        <v/>
      </c>
      <c r="D851" s="30">
        <f>IF(Database!B851="","",Database!D851)</f>
        <v/>
      </c>
      <c r="E851" s="30">
        <f>IF(Database!B851="","",Database!E851)</f>
        <v/>
      </c>
      <c r="F851" s="30">
        <f>IF(Database!B851="","",Database!F851)</f>
        <v/>
      </c>
      <c r="G851" s="30">
        <f>IF(Database!B851="","",Database!G851)</f>
        <v/>
      </c>
      <c r="H851" s="30">
        <f>IF(Database!B851="","",Database!C851)</f>
        <v/>
      </c>
      <c r="I851" s="30">
        <f>IF(Database!B851="","",Database!H851)</f>
        <v/>
      </c>
      <c r="J851" s="31" t="n"/>
      <c r="K851" s="88" t="n"/>
      <c r="L851" s="31" t="n"/>
      <c r="M851" s="31" t="n"/>
      <c r="N851" s="31" t="n"/>
      <c r="O851" s="32" t="n"/>
    </row>
    <row r="852">
      <c r="A852" s="30">
        <f>IF(Database!B852="","",ROW()-1)</f>
        <v/>
      </c>
      <c r="B852" s="30">
        <f>IF(Database!B852="","",Database!B852)</f>
        <v/>
      </c>
      <c r="C852" s="87">
        <f>IF(Database!B852="","",Database!A852)</f>
        <v/>
      </c>
      <c r="D852" s="30">
        <f>IF(Database!B852="","",Database!D852)</f>
        <v/>
      </c>
      <c r="E852" s="30">
        <f>IF(Database!B852="","",Database!E852)</f>
        <v/>
      </c>
      <c r="F852" s="30">
        <f>IF(Database!B852="","",Database!F852)</f>
        <v/>
      </c>
      <c r="G852" s="30">
        <f>IF(Database!B852="","",Database!G852)</f>
        <v/>
      </c>
      <c r="H852" s="30">
        <f>IF(Database!B852="","",Database!C852)</f>
        <v/>
      </c>
      <c r="I852" s="30">
        <f>IF(Database!B852="","",Database!H852)</f>
        <v/>
      </c>
      <c r="J852" s="31" t="n"/>
      <c r="K852" s="88" t="n"/>
      <c r="L852" s="31" t="n"/>
      <c r="M852" s="31" t="n"/>
      <c r="N852" s="31" t="n"/>
      <c r="O852" s="32" t="n"/>
    </row>
    <row r="853">
      <c r="A853" s="30">
        <f>IF(Database!B853="","",ROW()-1)</f>
        <v/>
      </c>
      <c r="B853" s="30">
        <f>IF(Database!B853="","",Database!B853)</f>
        <v/>
      </c>
      <c r="C853" s="87">
        <f>IF(Database!B853="","",Database!A853)</f>
        <v/>
      </c>
      <c r="D853" s="30">
        <f>IF(Database!B853="","",Database!D853)</f>
        <v/>
      </c>
      <c r="E853" s="30">
        <f>IF(Database!B853="","",Database!E853)</f>
        <v/>
      </c>
      <c r="F853" s="30">
        <f>IF(Database!B853="","",Database!F853)</f>
        <v/>
      </c>
      <c r="G853" s="30">
        <f>IF(Database!B853="","",Database!G853)</f>
        <v/>
      </c>
      <c r="H853" s="30">
        <f>IF(Database!B853="","",Database!C853)</f>
        <v/>
      </c>
      <c r="I853" s="30">
        <f>IF(Database!B853="","",Database!H853)</f>
        <v/>
      </c>
      <c r="J853" s="31" t="n"/>
      <c r="K853" s="88" t="n"/>
      <c r="L853" s="31" t="n"/>
      <c r="M853" s="31" t="n"/>
      <c r="N853" s="31" t="n"/>
      <c r="O853" s="32" t="n"/>
    </row>
    <row r="854">
      <c r="A854" s="30">
        <f>IF(Database!B854="","",ROW()-1)</f>
        <v/>
      </c>
      <c r="B854" s="30">
        <f>IF(Database!B854="","",Database!B854)</f>
        <v/>
      </c>
      <c r="C854" s="87">
        <f>IF(Database!B854="","",Database!A854)</f>
        <v/>
      </c>
      <c r="D854" s="30">
        <f>IF(Database!B854="","",Database!D854)</f>
        <v/>
      </c>
      <c r="E854" s="30">
        <f>IF(Database!B854="","",Database!E854)</f>
        <v/>
      </c>
      <c r="F854" s="30">
        <f>IF(Database!B854="","",Database!F854)</f>
        <v/>
      </c>
      <c r="G854" s="30">
        <f>IF(Database!B854="","",Database!G854)</f>
        <v/>
      </c>
      <c r="H854" s="30">
        <f>IF(Database!B854="","",Database!C854)</f>
        <v/>
      </c>
      <c r="I854" s="30">
        <f>IF(Database!B854="","",Database!H854)</f>
        <v/>
      </c>
      <c r="J854" s="31" t="n"/>
      <c r="K854" s="88" t="n"/>
      <c r="L854" s="31" t="n"/>
      <c r="M854" s="31" t="n"/>
      <c r="N854" s="31" t="n"/>
      <c r="O854" s="32" t="n"/>
    </row>
    <row r="855">
      <c r="A855" s="30">
        <f>IF(Database!B855="","",ROW()-1)</f>
        <v/>
      </c>
      <c r="B855" s="30">
        <f>IF(Database!B855="","",Database!B855)</f>
        <v/>
      </c>
      <c r="C855" s="87">
        <f>IF(Database!B855="","",Database!A855)</f>
        <v/>
      </c>
      <c r="D855" s="30">
        <f>IF(Database!B855="","",Database!D855)</f>
        <v/>
      </c>
      <c r="E855" s="30">
        <f>IF(Database!B855="","",Database!E855)</f>
        <v/>
      </c>
      <c r="F855" s="30">
        <f>IF(Database!B855="","",Database!F855)</f>
        <v/>
      </c>
      <c r="G855" s="30">
        <f>IF(Database!B855="","",Database!G855)</f>
        <v/>
      </c>
      <c r="H855" s="30">
        <f>IF(Database!B855="","",Database!C855)</f>
        <v/>
      </c>
      <c r="I855" s="30">
        <f>IF(Database!B855="","",Database!H855)</f>
        <v/>
      </c>
      <c r="J855" s="31" t="n"/>
      <c r="K855" s="88" t="n"/>
      <c r="L855" s="31" t="n"/>
      <c r="M855" s="31" t="n"/>
      <c r="N855" s="31" t="n"/>
      <c r="O855" s="32" t="n"/>
    </row>
    <row r="856">
      <c r="A856" s="30">
        <f>IF(Database!B856="","",ROW()-1)</f>
        <v/>
      </c>
      <c r="B856" s="30">
        <f>IF(Database!B856="","",Database!B856)</f>
        <v/>
      </c>
      <c r="C856" s="87">
        <f>IF(Database!B856="","",Database!A856)</f>
        <v/>
      </c>
      <c r="D856" s="30">
        <f>IF(Database!B856="","",Database!D856)</f>
        <v/>
      </c>
      <c r="E856" s="30">
        <f>IF(Database!B856="","",Database!E856)</f>
        <v/>
      </c>
      <c r="F856" s="30">
        <f>IF(Database!B856="","",Database!F856)</f>
        <v/>
      </c>
      <c r="G856" s="30">
        <f>IF(Database!B856="","",Database!G856)</f>
        <v/>
      </c>
      <c r="H856" s="30">
        <f>IF(Database!B856="","",Database!C856)</f>
        <v/>
      </c>
      <c r="I856" s="30">
        <f>IF(Database!B856="","",Database!H856)</f>
        <v/>
      </c>
      <c r="J856" s="31" t="n"/>
      <c r="K856" s="88" t="n"/>
      <c r="L856" s="31" t="n"/>
      <c r="M856" s="31" t="n"/>
      <c r="N856" s="31" t="n"/>
      <c r="O856" s="32" t="n"/>
    </row>
    <row r="857">
      <c r="A857" s="30">
        <f>IF(Database!B857="","",ROW()-1)</f>
        <v/>
      </c>
      <c r="B857" s="30">
        <f>IF(Database!B857="","",Database!B857)</f>
        <v/>
      </c>
      <c r="C857" s="87">
        <f>IF(Database!B857="","",Database!A857)</f>
        <v/>
      </c>
      <c r="D857" s="30">
        <f>IF(Database!B857="","",Database!D857)</f>
        <v/>
      </c>
      <c r="E857" s="30">
        <f>IF(Database!B857="","",Database!E857)</f>
        <v/>
      </c>
      <c r="F857" s="30">
        <f>IF(Database!B857="","",Database!F857)</f>
        <v/>
      </c>
      <c r="G857" s="30">
        <f>IF(Database!B857="","",Database!G857)</f>
        <v/>
      </c>
      <c r="H857" s="30">
        <f>IF(Database!B857="","",Database!C857)</f>
        <v/>
      </c>
      <c r="I857" s="30">
        <f>IF(Database!B857="","",Database!H857)</f>
        <v/>
      </c>
      <c r="J857" s="31" t="n"/>
      <c r="K857" s="88" t="n"/>
      <c r="L857" s="31" t="n"/>
      <c r="M857" s="31" t="n"/>
      <c r="N857" s="31" t="n"/>
      <c r="O857" s="32" t="n"/>
    </row>
    <row r="858">
      <c r="A858" s="30">
        <f>IF(Database!B858="","",ROW()-1)</f>
        <v/>
      </c>
      <c r="B858" s="30">
        <f>IF(Database!B858="","",Database!B858)</f>
        <v/>
      </c>
      <c r="C858" s="87">
        <f>IF(Database!B858="","",Database!A858)</f>
        <v/>
      </c>
      <c r="D858" s="30">
        <f>IF(Database!B858="","",Database!D858)</f>
        <v/>
      </c>
      <c r="E858" s="30">
        <f>IF(Database!B858="","",Database!E858)</f>
        <v/>
      </c>
      <c r="F858" s="30">
        <f>IF(Database!B858="","",Database!F858)</f>
        <v/>
      </c>
      <c r="G858" s="30">
        <f>IF(Database!B858="","",Database!G858)</f>
        <v/>
      </c>
      <c r="H858" s="30">
        <f>IF(Database!B858="","",Database!C858)</f>
        <v/>
      </c>
      <c r="I858" s="30">
        <f>IF(Database!B858="","",Database!H858)</f>
        <v/>
      </c>
      <c r="J858" s="31" t="n"/>
      <c r="K858" s="88" t="n"/>
      <c r="L858" s="31" t="n"/>
      <c r="M858" s="31" t="n"/>
      <c r="N858" s="31" t="n"/>
      <c r="O858" s="32" t="n"/>
    </row>
    <row r="859">
      <c r="A859" s="30">
        <f>IF(Database!B859="","",ROW()-1)</f>
        <v/>
      </c>
      <c r="B859" s="30">
        <f>IF(Database!B859="","",Database!B859)</f>
        <v/>
      </c>
      <c r="C859" s="87">
        <f>IF(Database!B859="","",Database!A859)</f>
        <v/>
      </c>
      <c r="D859" s="30">
        <f>IF(Database!B859="","",Database!D859)</f>
        <v/>
      </c>
      <c r="E859" s="30">
        <f>IF(Database!B859="","",Database!E859)</f>
        <v/>
      </c>
      <c r="F859" s="30">
        <f>IF(Database!B859="","",Database!F859)</f>
        <v/>
      </c>
      <c r="G859" s="30">
        <f>IF(Database!B859="","",Database!G859)</f>
        <v/>
      </c>
      <c r="H859" s="30">
        <f>IF(Database!B859="","",Database!C859)</f>
        <v/>
      </c>
      <c r="I859" s="30">
        <f>IF(Database!B859="","",Database!H859)</f>
        <v/>
      </c>
      <c r="J859" s="31" t="n"/>
      <c r="K859" s="88" t="n"/>
      <c r="L859" s="31" t="n"/>
      <c r="M859" s="31" t="n"/>
      <c r="N859" s="31" t="n"/>
      <c r="O859" s="32" t="n"/>
    </row>
    <row r="860">
      <c r="A860" s="30">
        <f>IF(Database!B860="","",ROW()-1)</f>
        <v/>
      </c>
      <c r="B860" s="30">
        <f>IF(Database!B860="","",Database!B860)</f>
        <v/>
      </c>
      <c r="C860" s="87">
        <f>IF(Database!B860="","",Database!A860)</f>
        <v/>
      </c>
      <c r="D860" s="30">
        <f>IF(Database!B860="","",Database!D860)</f>
        <v/>
      </c>
      <c r="E860" s="30">
        <f>IF(Database!B860="","",Database!E860)</f>
        <v/>
      </c>
      <c r="F860" s="30">
        <f>IF(Database!B860="","",Database!F860)</f>
        <v/>
      </c>
      <c r="G860" s="30">
        <f>IF(Database!B860="","",Database!G860)</f>
        <v/>
      </c>
      <c r="H860" s="30">
        <f>IF(Database!B860="","",Database!C860)</f>
        <v/>
      </c>
      <c r="I860" s="30">
        <f>IF(Database!B860="","",Database!H860)</f>
        <v/>
      </c>
      <c r="J860" s="31" t="n"/>
      <c r="K860" s="88" t="n"/>
      <c r="L860" s="31" t="n"/>
      <c r="M860" s="31" t="n"/>
      <c r="N860" s="31" t="n"/>
      <c r="O860" s="32" t="n"/>
    </row>
    <row r="861">
      <c r="A861" s="30">
        <f>IF(Database!B861="","",ROW()-1)</f>
        <v/>
      </c>
      <c r="B861" s="30">
        <f>IF(Database!B861="","",Database!B861)</f>
        <v/>
      </c>
      <c r="C861" s="87">
        <f>IF(Database!B861="","",Database!A861)</f>
        <v/>
      </c>
      <c r="D861" s="30">
        <f>IF(Database!B861="","",Database!D861)</f>
        <v/>
      </c>
      <c r="E861" s="30">
        <f>IF(Database!B861="","",Database!E861)</f>
        <v/>
      </c>
      <c r="F861" s="30">
        <f>IF(Database!B861="","",Database!F861)</f>
        <v/>
      </c>
      <c r="G861" s="30">
        <f>IF(Database!B861="","",Database!G861)</f>
        <v/>
      </c>
      <c r="H861" s="30">
        <f>IF(Database!B861="","",Database!C861)</f>
        <v/>
      </c>
      <c r="I861" s="30">
        <f>IF(Database!B861="","",Database!H861)</f>
        <v/>
      </c>
      <c r="J861" s="31" t="n"/>
      <c r="K861" s="88" t="n"/>
      <c r="L861" s="31" t="n"/>
      <c r="M861" s="31" t="n"/>
      <c r="N861" s="31" t="n"/>
      <c r="O861" s="32" t="n"/>
    </row>
    <row r="862">
      <c r="A862" s="30">
        <f>IF(Database!B862="","",ROW()-1)</f>
        <v/>
      </c>
      <c r="B862" s="30">
        <f>IF(Database!B862="","",Database!B862)</f>
        <v/>
      </c>
      <c r="C862" s="87">
        <f>IF(Database!B862="","",Database!A862)</f>
        <v/>
      </c>
      <c r="D862" s="30">
        <f>IF(Database!B862="","",Database!D862)</f>
        <v/>
      </c>
      <c r="E862" s="30">
        <f>IF(Database!B862="","",Database!E862)</f>
        <v/>
      </c>
      <c r="F862" s="30">
        <f>IF(Database!B862="","",Database!F862)</f>
        <v/>
      </c>
      <c r="G862" s="30">
        <f>IF(Database!B862="","",Database!G862)</f>
        <v/>
      </c>
      <c r="H862" s="30">
        <f>IF(Database!B862="","",Database!C862)</f>
        <v/>
      </c>
      <c r="I862" s="30">
        <f>IF(Database!B862="","",Database!H862)</f>
        <v/>
      </c>
      <c r="J862" s="31" t="n"/>
      <c r="K862" s="88" t="n"/>
      <c r="L862" s="31" t="n"/>
      <c r="M862" s="31" t="n"/>
      <c r="N862" s="31" t="n"/>
      <c r="O862" s="32" t="n"/>
    </row>
    <row r="863">
      <c r="A863" s="30">
        <f>IF(Database!B863="","",ROW()-1)</f>
        <v/>
      </c>
      <c r="B863" s="30">
        <f>IF(Database!B863="","",Database!B863)</f>
        <v/>
      </c>
      <c r="C863" s="87">
        <f>IF(Database!B863="","",Database!A863)</f>
        <v/>
      </c>
      <c r="D863" s="30">
        <f>IF(Database!B863="","",Database!D863)</f>
        <v/>
      </c>
      <c r="E863" s="30">
        <f>IF(Database!B863="","",Database!E863)</f>
        <v/>
      </c>
      <c r="F863" s="30">
        <f>IF(Database!B863="","",Database!F863)</f>
        <v/>
      </c>
      <c r="G863" s="30">
        <f>IF(Database!B863="","",Database!G863)</f>
        <v/>
      </c>
      <c r="H863" s="30">
        <f>IF(Database!B863="","",Database!C863)</f>
        <v/>
      </c>
      <c r="I863" s="30">
        <f>IF(Database!B863="","",Database!H863)</f>
        <v/>
      </c>
      <c r="J863" s="31" t="n"/>
      <c r="K863" s="88" t="n"/>
      <c r="L863" s="31" t="n"/>
      <c r="M863" s="31" t="n"/>
      <c r="N863" s="31" t="n"/>
      <c r="O863" s="32" t="n"/>
    </row>
    <row r="864">
      <c r="A864" s="30">
        <f>IF(Database!B864="","",ROW()-1)</f>
        <v/>
      </c>
      <c r="B864" s="30">
        <f>IF(Database!B864="","",Database!B864)</f>
        <v/>
      </c>
      <c r="C864" s="87">
        <f>IF(Database!B864="","",Database!A864)</f>
        <v/>
      </c>
      <c r="D864" s="30">
        <f>IF(Database!B864="","",Database!D864)</f>
        <v/>
      </c>
      <c r="E864" s="30">
        <f>IF(Database!B864="","",Database!E864)</f>
        <v/>
      </c>
      <c r="F864" s="30">
        <f>IF(Database!B864="","",Database!F864)</f>
        <v/>
      </c>
      <c r="G864" s="30">
        <f>IF(Database!B864="","",Database!G864)</f>
        <v/>
      </c>
      <c r="H864" s="30">
        <f>IF(Database!B864="","",Database!C864)</f>
        <v/>
      </c>
      <c r="I864" s="30">
        <f>IF(Database!B864="","",Database!H864)</f>
        <v/>
      </c>
      <c r="J864" s="31" t="n"/>
      <c r="K864" s="88" t="n"/>
      <c r="L864" s="31" t="n"/>
      <c r="M864" s="31" t="n"/>
      <c r="N864" s="31" t="n"/>
      <c r="O864" s="32" t="n"/>
    </row>
    <row r="865">
      <c r="A865" s="30">
        <f>IF(Database!B865="","",ROW()-1)</f>
        <v/>
      </c>
      <c r="B865" s="30">
        <f>IF(Database!B865="","",Database!B865)</f>
        <v/>
      </c>
      <c r="C865" s="87">
        <f>IF(Database!B865="","",Database!A865)</f>
        <v/>
      </c>
      <c r="D865" s="30">
        <f>IF(Database!B865="","",Database!D865)</f>
        <v/>
      </c>
      <c r="E865" s="30">
        <f>IF(Database!B865="","",Database!E865)</f>
        <v/>
      </c>
      <c r="F865" s="30">
        <f>IF(Database!B865="","",Database!F865)</f>
        <v/>
      </c>
      <c r="G865" s="30">
        <f>IF(Database!B865="","",Database!G865)</f>
        <v/>
      </c>
      <c r="H865" s="30">
        <f>IF(Database!B865="","",Database!C865)</f>
        <v/>
      </c>
      <c r="I865" s="30">
        <f>IF(Database!B865="","",Database!H865)</f>
        <v/>
      </c>
      <c r="J865" s="31" t="n"/>
      <c r="K865" s="88" t="n"/>
      <c r="L865" s="31" t="n"/>
      <c r="M865" s="31" t="n"/>
      <c r="N865" s="31" t="n"/>
      <c r="O865" s="32" t="n"/>
    </row>
    <row r="866">
      <c r="A866" s="30">
        <f>IF(Database!B866="","",ROW()-1)</f>
        <v/>
      </c>
      <c r="B866" s="30">
        <f>IF(Database!B866="","",Database!B866)</f>
        <v/>
      </c>
      <c r="C866" s="87">
        <f>IF(Database!B866="","",Database!A866)</f>
        <v/>
      </c>
      <c r="D866" s="30">
        <f>IF(Database!B866="","",Database!D866)</f>
        <v/>
      </c>
      <c r="E866" s="30">
        <f>IF(Database!B866="","",Database!E866)</f>
        <v/>
      </c>
      <c r="F866" s="30">
        <f>IF(Database!B866="","",Database!F866)</f>
        <v/>
      </c>
      <c r="G866" s="30">
        <f>IF(Database!B866="","",Database!G866)</f>
        <v/>
      </c>
      <c r="H866" s="30">
        <f>IF(Database!B866="","",Database!C866)</f>
        <v/>
      </c>
      <c r="I866" s="30">
        <f>IF(Database!B866="","",Database!H866)</f>
        <v/>
      </c>
      <c r="J866" s="31" t="n"/>
      <c r="K866" s="88" t="n"/>
      <c r="L866" s="31" t="n"/>
      <c r="M866" s="31" t="n"/>
      <c r="N866" s="31" t="n"/>
      <c r="O866" s="32" t="n"/>
    </row>
    <row r="867">
      <c r="A867" s="30">
        <f>IF(Database!B867="","",ROW()-1)</f>
        <v/>
      </c>
      <c r="B867" s="30">
        <f>IF(Database!B867="","",Database!B867)</f>
        <v/>
      </c>
      <c r="C867" s="87">
        <f>IF(Database!B867="","",Database!A867)</f>
        <v/>
      </c>
      <c r="D867" s="30">
        <f>IF(Database!B867="","",Database!D867)</f>
        <v/>
      </c>
      <c r="E867" s="30">
        <f>IF(Database!B867="","",Database!E867)</f>
        <v/>
      </c>
      <c r="F867" s="30">
        <f>IF(Database!B867="","",Database!F867)</f>
        <v/>
      </c>
      <c r="G867" s="30">
        <f>IF(Database!B867="","",Database!G867)</f>
        <v/>
      </c>
      <c r="H867" s="30">
        <f>IF(Database!B867="","",Database!C867)</f>
        <v/>
      </c>
      <c r="I867" s="30">
        <f>IF(Database!B867="","",Database!H867)</f>
        <v/>
      </c>
      <c r="J867" s="31" t="n"/>
      <c r="K867" s="88" t="n"/>
      <c r="L867" s="31" t="n"/>
      <c r="M867" s="31" t="n"/>
      <c r="N867" s="31" t="n"/>
      <c r="O867" s="32" t="n"/>
    </row>
    <row r="868">
      <c r="A868" s="30">
        <f>IF(Database!B868="","",ROW()-1)</f>
        <v/>
      </c>
      <c r="B868" s="30">
        <f>IF(Database!B868="","",Database!B868)</f>
        <v/>
      </c>
      <c r="C868" s="87">
        <f>IF(Database!B868="","",Database!A868)</f>
        <v/>
      </c>
      <c r="D868" s="30">
        <f>IF(Database!B868="","",Database!D868)</f>
        <v/>
      </c>
      <c r="E868" s="30">
        <f>IF(Database!B868="","",Database!E868)</f>
        <v/>
      </c>
      <c r="F868" s="30">
        <f>IF(Database!B868="","",Database!F868)</f>
        <v/>
      </c>
      <c r="G868" s="30">
        <f>IF(Database!B868="","",Database!G868)</f>
        <v/>
      </c>
      <c r="H868" s="30">
        <f>IF(Database!B868="","",Database!C868)</f>
        <v/>
      </c>
      <c r="I868" s="30">
        <f>IF(Database!B868="","",Database!H868)</f>
        <v/>
      </c>
      <c r="J868" s="31" t="n"/>
      <c r="K868" s="88" t="n"/>
      <c r="L868" s="31" t="n"/>
      <c r="M868" s="31" t="n"/>
      <c r="N868" s="31" t="n"/>
      <c r="O868" s="32" t="n"/>
    </row>
    <row r="869">
      <c r="A869" s="30">
        <f>IF(Database!B869="","",ROW()-1)</f>
        <v/>
      </c>
      <c r="B869" s="30">
        <f>IF(Database!B869="","",Database!B869)</f>
        <v/>
      </c>
      <c r="C869" s="87">
        <f>IF(Database!B869="","",Database!A869)</f>
        <v/>
      </c>
      <c r="D869" s="30">
        <f>IF(Database!B869="","",Database!D869)</f>
        <v/>
      </c>
      <c r="E869" s="30">
        <f>IF(Database!B869="","",Database!E869)</f>
        <v/>
      </c>
      <c r="F869" s="30">
        <f>IF(Database!B869="","",Database!F869)</f>
        <v/>
      </c>
      <c r="G869" s="30">
        <f>IF(Database!B869="","",Database!G869)</f>
        <v/>
      </c>
      <c r="H869" s="30">
        <f>IF(Database!B869="","",Database!C869)</f>
        <v/>
      </c>
      <c r="I869" s="30">
        <f>IF(Database!B869="","",Database!H869)</f>
        <v/>
      </c>
      <c r="J869" s="31" t="n"/>
      <c r="K869" s="88" t="n"/>
      <c r="L869" s="31" t="n"/>
      <c r="M869" s="31" t="n"/>
      <c r="N869" s="31" t="n"/>
      <c r="O869" s="32" t="n"/>
    </row>
    <row r="870">
      <c r="A870" s="30">
        <f>IF(Database!B870="","",ROW()-1)</f>
        <v/>
      </c>
      <c r="B870" s="30">
        <f>IF(Database!B870="","",Database!B870)</f>
        <v/>
      </c>
      <c r="C870" s="87">
        <f>IF(Database!B870="","",Database!A870)</f>
        <v/>
      </c>
      <c r="D870" s="30">
        <f>IF(Database!B870="","",Database!D870)</f>
        <v/>
      </c>
      <c r="E870" s="30">
        <f>IF(Database!B870="","",Database!E870)</f>
        <v/>
      </c>
      <c r="F870" s="30">
        <f>IF(Database!B870="","",Database!F870)</f>
        <v/>
      </c>
      <c r="G870" s="30">
        <f>IF(Database!B870="","",Database!G870)</f>
        <v/>
      </c>
      <c r="H870" s="30">
        <f>IF(Database!B870="","",Database!C870)</f>
        <v/>
      </c>
      <c r="I870" s="30">
        <f>IF(Database!B870="","",Database!H870)</f>
        <v/>
      </c>
      <c r="J870" s="31" t="n"/>
      <c r="K870" s="88" t="n"/>
      <c r="L870" s="31" t="n"/>
      <c r="M870" s="31" t="n"/>
      <c r="N870" s="31" t="n"/>
      <c r="O870" s="32" t="n"/>
    </row>
    <row r="871">
      <c r="A871" s="30">
        <f>IF(Database!B871="","",ROW()-1)</f>
        <v/>
      </c>
      <c r="B871" s="30">
        <f>IF(Database!B871="","",Database!B871)</f>
        <v/>
      </c>
      <c r="C871" s="87">
        <f>IF(Database!B871="","",Database!A871)</f>
        <v/>
      </c>
      <c r="D871" s="30">
        <f>IF(Database!B871="","",Database!D871)</f>
        <v/>
      </c>
      <c r="E871" s="30">
        <f>IF(Database!B871="","",Database!E871)</f>
        <v/>
      </c>
      <c r="F871" s="30">
        <f>IF(Database!B871="","",Database!F871)</f>
        <v/>
      </c>
      <c r="G871" s="30">
        <f>IF(Database!B871="","",Database!G871)</f>
        <v/>
      </c>
      <c r="H871" s="30">
        <f>IF(Database!B871="","",Database!C871)</f>
        <v/>
      </c>
      <c r="I871" s="30">
        <f>IF(Database!B871="","",Database!H871)</f>
        <v/>
      </c>
      <c r="J871" s="31" t="n"/>
      <c r="K871" s="88" t="n"/>
      <c r="L871" s="31" t="n"/>
      <c r="M871" s="31" t="n"/>
      <c r="N871" s="31" t="n"/>
      <c r="O871" s="32" t="n"/>
    </row>
    <row r="872">
      <c r="A872" s="30">
        <f>IF(Database!B872="","",ROW()-1)</f>
        <v/>
      </c>
      <c r="B872" s="30">
        <f>IF(Database!B872="","",Database!B872)</f>
        <v/>
      </c>
      <c r="C872" s="87">
        <f>IF(Database!B872="","",Database!A872)</f>
        <v/>
      </c>
      <c r="D872" s="30">
        <f>IF(Database!B872="","",Database!D872)</f>
        <v/>
      </c>
      <c r="E872" s="30">
        <f>IF(Database!B872="","",Database!E872)</f>
        <v/>
      </c>
      <c r="F872" s="30">
        <f>IF(Database!B872="","",Database!F872)</f>
        <v/>
      </c>
      <c r="G872" s="30">
        <f>IF(Database!B872="","",Database!G872)</f>
        <v/>
      </c>
      <c r="H872" s="30">
        <f>IF(Database!B872="","",Database!C872)</f>
        <v/>
      </c>
      <c r="I872" s="30">
        <f>IF(Database!B872="","",Database!H872)</f>
        <v/>
      </c>
      <c r="J872" s="31" t="n"/>
      <c r="K872" s="88" t="n"/>
      <c r="L872" s="31" t="n"/>
      <c r="M872" s="31" t="n"/>
      <c r="N872" s="31" t="n"/>
      <c r="O872" s="32" t="n"/>
    </row>
    <row r="873">
      <c r="A873" s="30">
        <f>IF(Database!B873="","",ROW()-1)</f>
        <v/>
      </c>
      <c r="B873" s="30">
        <f>IF(Database!B873="","",Database!B873)</f>
        <v/>
      </c>
      <c r="C873" s="87">
        <f>IF(Database!B873="","",Database!A873)</f>
        <v/>
      </c>
      <c r="D873" s="30">
        <f>IF(Database!B873="","",Database!D873)</f>
        <v/>
      </c>
      <c r="E873" s="30">
        <f>IF(Database!B873="","",Database!E873)</f>
        <v/>
      </c>
      <c r="F873" s="30">
        <f>IF(Database!B873="","",Database!F873)</f>
        <v/>
      </c>
      <c r="G873" s="30">
        <f>IF(Database!B873="","",Database!G873)</f>
        <v/>
      </c>
      <c r="H873" s="30">
        <f>IF(Database!B873="","",Database!C873)</f>
        <v/>
      </c>
      <c r="I873" s="30">
        <f>IF(Database!B873="","",Database!H873)</f>
        <v/>
      </c>
      <c r="J873" s="31" t="n"/>
      <c r="K873" s="88" t="n"/>
      <c r="L873" s="31" t="n"/>
      <c r="M873" s="31" t="n"/>
      <c r="N873" s="31" t="n"/>
      <c r="O873" s="32" t="n"/>
    </row>
    <row r="874">
      <c r="A874" s="30">
        <f>IF(Database!B874="","",ROW()-1)</f>
        <v/>
      </c>
      <c r="B874" s="30">
        <f>IF(Database!B874="","",Database!B874)</f>
        <v/>
      </c>
      <c r="C874" s="87">
        <f>IF(Database!B874="","",Database!A874)</f>
        <v/>
      </c>
      <c r="D874" s="30">
        <f>IF(Database!B874="","",Database!D874)</f>
        <v/>
      </c>
      <c r="E874" s="30">
        <f>IF(Database!B874="","",Database!E874)</f>
        <v/>
      </c>
      <c r="F874" s="30">
        <f>IF(Database!B874="","",Database!F874)</f>
        <v/>
      </c>
      <c r="G874" s="30">
        <f>IF(Database!B874="","",Database!G874)</f>
        <v/>
      </c>
      <c r="H874" s="30">
        <f>IF(Database!B874="","",Database!C874)</f>
        <v/>
      </c>
      <c r="I874" s="30">
        <f>IF(Database!B874="","",Database!H874)</f>
        <v/>
      </c>
      <c r="J874" s="31" t="n"/>
      <c r="K874" s="88" t="n"/>
      <c r="L874" s="31" t="n"/>
      <c r="M874" s="31" t="n"/>
      <c r="N874" s="31" t="n"/>
      <c r="O874" s="32" t="n"/>
    </row>
    <row r="875">
      <c r="A875" s="30">
        <f>IF(Database!B875="","",ROW()-1)</f>
        <v/>
      </c>
      <c r="B875" s="30">
        <f>IF(Database!B875="","",Database!B875)</f>
        <v/>
      </c>
      <c r="C875" s="87">
        <f>IF(Database!B875="","",Database!A875)</f>
        <v/>
      </c>
      <c r="D875" s="30">
        <f>IF(Database!B875="","",Database!D875)</f>
        <v/>
      </c>
      <c r="E875" s="30">
        <f>IF(Database!B875="","",Database!E875)</f>
        <v/>
      </c>
      <c r="F875" s="30">
        <f>IF(Database!B875="","",Database!F875)</f>
        <v/>
      </c>
      <c r="G875" s="30">
        <f>IF(Database!B875="","",Database!G875)</f>
        <v/>
      </c>
      <c r="H875" s="30">
        <f>IF(Database!B875="","",Database!C875)</f>
        <v/>
      </c>
      <c r="I875" s="30">
        <f>IF(Database!B875="","",Database!H875)</f>
        <v/>
      </c>
      <c r="J875" s="31" t="n"/>
      <c r="K875" s="88" t="n"/>
      <c r="L875" s="31" t="n"/>
      <c r="M875" s="31" t="n"/>
      <c r="N875" s="31" t="n"/>
      <c r="O875" s="32" t="n"/>
    </row>
    <row r="876">
      <c r="A876" s="30">
        <f>IF(Database!B876="","",ROW()-1)</f>
        <v/>
      </c>
      <c r="B876" s="30">
        <f>IF(Database!B876="","",Database!B876)</f>
        <v/>
      </c>
      <c r="C876" s="87">
        <f>IF(Database!B876="","",Database!A876)</f>
        <v/>
      </c>
      <c r="D876" s="30">
        <f>IF(Database!B876="","",Database!D876)</f>
        <v/>
      </c>
      <c r="E876" s="30">
        <f>IF(Database!B876="","",Database!E876)</f>
        <v/>
      </c>
      <c r="F876" s="30">
        <f>IF(Database!B876="","",Database!F876)</f>
        <v/>
      </c>
      <c r="G876" s="30">
        <f>IF(Database!B876="","",Database!G876)</f>
        <v/>
      </c>
      <c r="H876" s="30">
        <f>IF(Database!B876="","",Database!C876)</f>
        <v/>
      </c>
      <c r="I876" s="30">
        <f>IF(Database!B876="","",Database!H876)</f>
        <v/>
      </c>
      <c r="J876" s="31" t="n"/>
      <c r="K876" s="88" t="n"/>
      <c r="L876" s="31" t="n"/>
      <c r="M876" s="31" t="n"/>
      <c r="N876" s="31" t="n"/>
      <c r="O876" s="32" t="n"/>
    </row>
    <row r="877">
      <c r="A877" s="30">
        <f>IF(Database!B877="","",ROW()-1)</f>
        <v/>
      </c>
      <c r="B877" s="30">
        <f>IF(Database!B877="","",Database!B877)</f>
        <v/>
      </c>
      <c r="C877" s="87">
        <f>IF(Database!B877="","",Database!A877)</f>
        <v/>
      </c>
      <c r="D877" s="30">
        <f>IF(Database!B877="","",Database!D877)</f>
        <v/>
      </c>
      <c r="E877" s="30">
        <f>IF(Database!B877="","",Database!E877)</f>
        <v/>
      </c>
      <c r="F877" s="30">
        <f>IF(Database!B877="","",Database!F877)</f>
        <v/>
      </c>
      <c r="G877" s="30">
        <f>IF(Database!B877="","",Database!G877)</f>
        <v/>
      </c>
      <c r="H877" s="30">
        <f>IF(Database!B877="","",Database!C877)</f>
        <v/>
      </c>
      <c r="I877" s="30">
        <f>IF(Database!B877="","",Database!H877)</f>
        <v/>
      </c>
      <c r="J877" s="31" t="n"/>
      <c r="K877" s="88" t="n"/>
      <c r="L877" s="31" t="n"/>
      <c r="M877" s="31" t="n"/>
      <c r="N877" s="31" t="n"/>
      <c r="O877" s="32" t="n"/>
    </row>
    <row r="878">
      <c r="A878" s="30">
        <f>IF(Database!B878="","",ROW()-1)</f>
        <v/>
      </c>
      <c r="B878" s="30">
        <f>IF(Database!B878="","",Database!B878)</f>
        <v/>
      </c>
      <c r="C878" s="87">
        <f>IF(Database!B878="","",Database!A878)</f>
        <v/>
      </c>
      <c r="D878" s="30">
        <f>IF(Database!B878="","",Database!D878)</f>
        <v/>
      </c>
      <c r="E878" s="30">
        <f>IF(Database!B878="","",Database!E878)</f>
        <v/>
      </c>
      <c r="F878" s="30">
        <f>IF(Database!B878="","",Database!F878)</f>
        <v/>
      </c>
      <c r="G878" s="30">
        <f>IF(Database!B878="","",Database!G878)</f>
        <v/>
      </c>
      <c r="H878" s="30">
        <f>IF(Database!B878="","",Database!C878)</f>
        <v/>
      </c>
      <c r="I878" s="30">
        <f>IF(Database!B878="","",Database!H878)</f>
        <v/>
      </c>
      <c r="J878" s="31" t="n"/>
      <c r="K878" s="88" t="n"/>
      <c r="L878" s="31" t="n"/>
      <c r="M878" s="31" t="n"/>
      <c r="N878" s="31" t="n"/>
      <c r="O878" s="32" t="n"/>
    </row>
    <row r="879">
      <c r="A879" s="30">
        <f>IF(Database!B879="","",ROW()-1)</f>
        <v/>
      </c>
      <c r="B879" s="30">
        <f>IF(Database!B879="","",Database!B879)</f>
        <v/>
      </c>
      <c r="C879" s="87">
        <f>IF(Database!B879="","",Database!A879)</f>
        <v/>
      </c>
      <c r="D879" s="30">
        <f>IF(Database!B879="","",Database!D879)</f>
        <v/>
      </c>
      <c r="E879" s="30">
        <f>IF(Database!B879="","",Database!E879)</f>
        <v/>
      </c>
      <c r="F879" s="30">
        <f>IF(Database!B879="","",Database!F879)</f>
        <v/>
      </c>
      <c r="G879" s="30">
        <f>IF(Database!B879="","",Database!G879)</f>
        <v/>
      </c>
      <c r="H879" s="30">
        <f>IF(Database!B879="","",Database!C879)</f>
        <v/>
      </c>
      <c r="I879" s="30">
        <f>IF(Database!B879="","",Database!H879)</f>
        <v/>
      </c>
      <c r="J879" s="31" t="n"/>
      <c r="K879" s="88" t="n"/>
      <c r="L879" s="31" t="n"/>
      <c r="M879" s="31" t="n"/>
      <c r="N879" s="31" t="n"/>
      <c r="O879" s="32" t="n"/>
    </row>
    <row r="880">
      <c r="A880" s="30">
        <f>IF(Database!B880="","",ROW()-1)</f>
        <v/>
      </c>
      <c r="B880" s="30">
        <f>IF(Database!B880="","",Database!B880)</f>
        <v/>
      </c>
      <c r="C880" s="87">
        <f>IF(Database!B880="","",Database!A880)</f>
        <v/>
      </c>
      <c r="D880" s="30">
        <f>IF(Database!B880="","",Database!D880)</f>
        <v/>
      </c>
      <c r="E880" s="30">
        <f>IF(Database!B880="","",Database!E880)</f>
        <v/>
      </c>
      <c r="F880" s="30">
        <f>IF(Database!B880="","",Database!F880)</f>
        <v/>
      </c>
      <c r="G880" s="30">
        <f>IF(Database!B880="","",Database!G880)</f>
        <v/>
      </c>
      <c r="H880" s="30">
        <f>IF(Database!B880="","",Database!C880)</f>
        <v/>
      </c>
      <c r="I880" s="30">
        <f>IF(Database!B880="","",Database!H880)</f>
        <v/>
      </c>
      <c r="J880" s="31" t="n"/>
      <c r="K880" s="88" t="n"/>
      <c r="L880" s="31" t="n"/>
      <c r="M880" s="31" t="n"/>
      <c r="N880" s="31" t="n"/>
      <c r="O880" s="32" t="n"/>
    </row>
    <row r="881">
      <c r="A881" s="30">
        <f>IF(Database!B881="","",ROW()-1)</f>
        <v/>
      </c>
      <c r="B881" s="30">
        <f>IF(Database!B881="","",Database!B881)</f>
        <v/>
      </c>
      <c r="C881" s="87">
        <f>IF(Database!B881="","",Database!A881)</f>
        <v/>
      </c>
      <c r="D881" s="30">
        <f>IF(Database!B881="","",Database!D881)</f>
        <v/>
      </c>
      <c r="E881" s="30">
        <f>IF(Database!B881="","",Database!E881)</f>
        <v/>
      </c>
      <c r="F881" s="30">
        <f>IF(Database!B881="","",Database!F881)</f>
        <v/>
      </c>
      <c r="G881" s="30">
        <f>IF(Database!B881="","",Database!G881)</f>
        <v/>
      </c>
      <c r="H881" s="30">
        <f>IF(Database!B881="","",Database!C881)</f>
        <v/>
      </c>
      <c r="I881" s="30">
        <f>IF(Database!B881="","",Database!H881)</f>
        <v/>
      </c>
      <c r="J881" s="31" t="n"/>
      <c r="K881" s="88" t="n"/>
      <c r="L881" s="31" t="n"/>
      <c r="M881" s="31" t="n"/>
      <c r="N881" s="31" t="n"/>
      <c r="O881" s="32" t="n"/>
    </row>
    <row r="882">
      <c r="A882" s="30">
        <f>IF(Database!B882="","",ROW()-1)</f>
        <v/>
      </c>
      <c r="B882" s="30">
        <f>IF(Database!B882="","",Database!B882)</f>
        <v/>
      </c>
      <c r="C882" s="87">
        <f>IF(Database!B882="","",Database!A882)</f>
        <v/>
      </c>
      <c r="D882" s="30">
        <f>IF(Database!B882="","",Database!D882)</f>
        <v/>
      </c>
      <c r="E882" s="30">
        <f>IF(Database!B882="","",Database!E882)</f>
        <v/>
      </c>
      <c r="F882" s="30">
        <f>IF(Database!B882="","",Database!F882)</f>
        <v/>
      </c>
      <c r="G882" s="30">
        <f>IF(Database!B882="","",Database!G882)</f>
        <v/>
      </c>
      <c r="H882" s="30">
        <f>IF(Database!B882="","",Database!C882)</f>
        <v/>
      </c>
      <c r="I882" s="30">
        <f>IF(Database!B882="","",Database!H882)</f>
        <v/>
      </c>
      <c r="J882" s="31" t="n"/>
      <c r="K882" s="88" t="n"/>
      <c r="L882" s="31" t="n"/>
      <c r="M882" s="31" t="n"/>
      <c r="N882" s="31" t="n"/>
      <c r="O882" s="32" t="n"/>
    </row>
    <row r="883">
      <c r="A883" s="30">
        <f>IF(Database!B883="","",ROW()-1)</f>
        <v/>
      </c>
      <c r="B883" s="30">
        <f>IF(Database!B883="","",Database!B883)</f>
        <v/>
      </c>
      <c r="C883" s="87">
        <f>IF(Database!B883="","",Database!A883)</f>
        <v/>
      </c>
      <c r="D883" s="30">
        <f>IF(Database!B883="","",Database!D883)</f>
        <v/>
      </c>
      <c r="E883" s="30">
        <f>IF(Database!B883="","",Database!E883)</f>
        <v/>
      </c>
      <c r="F883" s="30">
        <f>IF(Database!B883="","",Database!F883)</f>
        <v/>
      </c>
      <c r="G883" s="30">
        <f>IF(Database!B883="","",Database!G883)</f>
        <v/>
      </c>
      <c r="H883" s="30">
        <f>IF(Database!B883="","",Database!C883)</f>
        <v/>
      </c>
      <c r="I883" s="30">
        <f>IF(Database!B883="","",Database!H883)</f>
        <v/>
      </c>
      <c r="J883" s="31" t="n"/>
      <c r="K883" s="88" t="n"/>
      <c r="L883" s="31" t="n"/>
      <c r="M883" s="31" t="n"/>
      <c r="N883" s="31" t="n"/>
      <c r="O883" s="32" t="n"/>
    </row>
    <row r="884">
      <c r="A884" s="30">
        <f>IF(Database!B884="","",ROW()-1)</f>
        <v/>
      </c>
      <c r="B884" s="30">
        <f>IF(Database!B884="","",Database!B884)</f>
        <v/>
      </c>
      <c r="C884" s="87">
        <f>IF(Database!B884="","",Database!A884)</f>
        <v/>
      </c>
      <c r="D884" s="30">
        <f>IF(Database!B884="","",Database!D884)</f>
        <v/>
      </c>
      <c r="E884" s="30">
        <f>IF(Database!B884="","",Database!E884)</f>
        <v/>
      </c>
      <c r="F884" s="30">
        <f>IF(Database!B884="","",Database!F884)</f>
        <v/>
      </c>
      <c r="G884" s="30">
        <f>IF(Database!B884="","",Database!G884)</f>
        <v/>
      </c>
      <c r="H884" s="30">
        <f>IF(Database!B884="","",Database!C884)</f>
        <v/>
      </c>
      <c r="I884" s="30">
        <f>IF(Database!B884="","",Database!H884)</f>
        <v/>
      </c>
      <c r="J884" s="31" t="n"/>
      <c r="K884" s="88" t="n"/>
      <c r="L884" s="31" t="n"/>
      <c r="M884" s="31" t="n"/>
      <c r="N884" s="31" t="n"/>
      <c r="O884" s="32" t="n"/>
    </row>
    <row r="885">
      <c r="A885" s="30">
        <f>IF(Database!B885="","",ROW()-1)</f>
        <v/>
      </c>
      <c r="B885" s="30">
        <f>IF(Database!B885="","",Database!B885)</f>
        <v/>
      </c>
      <c r="C885" s="87">
        <f>IF(Database!B885="","",Database!A885)</f>
        <v/>
      </c>
      <c r="D885" s="30">
        <f>IF(Database!B885="","",Database!D885)</f>
        <v/>
      </c>
      <c r="E885" s="30">
        <f>IF(Database!B885="","",Database!E885)</f>
        <v/>
      </c>
      <c r="F885" s="30">
        <f>IF(Database!B885="","",Database!F885)</f>
        <v/>
      </c>
      <c r="G885" s="30">
        <f>IF(Database!B885="","",Database!G885)</f>
        <v/>
      </c>
      <c r="H885" s="30">
        <f>IF(Database!B885="","",Database!C885)</f>
        <v/>
      </c>
      <c r="I885" s="30">
        <f>IF(Database!B885="","",Database!H885)</f>
        <v/>
      </c>
      <c r="J885" s="31" t="n"/>
      <c r="K885" s="88" t="n"/>
      <c r="L885" s="31" t="n"/>
      <c r="M885" s="31" t="n"/>
      <c r="N885" s="31" t="n"/>
      <c r="O885" s="32" t="n"/>
    </row>
    <row r="886">
      <c r="A886" s="30">
        <f>IF(Database!B886="","",ROW()-1)</f>
        <v/>
      </c>
      <c r="B886" s="30">
        <f>IF(Database!B886="","",Database!B886)</f>
        <v/>
      </c>
      <c r="C886" s="87">
        <f>IF(Database!B886="","",Database!A886)</f>
        <v/>
      </c>
      <c r="D886" s="30">
        <f>IF(Database!B886="","",Database!D886)</f>
        <v/>
      </c>
      <c r="E886" s="30">
        <f>IF(Database!B886="","",Database!E886)</f>
        <v/>
      </c>
      <c r="F886" s="30">
        <f>IF(Database!B886="","",Database!F886)</f>
        <v/>
      </c>
      <c r="G886" s="30">
        <f>IF(Database!B886="","",Database!G886)</f>
        <v/>
      </c>
      <c r="H886" s="30">
        <f>IF(Database!B886="","",Database!C886)</f>
        <v/>
      </c>
      <c r="I886" s="30">
        <f>IF(Database!B886="","",Database!H886)</f>
        <v/>
      </c>
      <c r="J886" s="31" t="n"/>
      <c r="K886" s="88" t="n"/>
      <c r="L886" s="31" t="n"/>
      <c r="M886" s="31" t="n"/>
      <c r="N886" s="31" t="n"/>
      <c r="O886" s="32" t="n"/>
    </row>
    <row r="887">
      <c r="A887" s="30">
        <f>IF(Database!B887="","",ROW()-1)</f>
        <v/>
      </c>
      <c r="B887" s="30">
        <f>IF(Database!B887="","",Database!B887)</f>
        <v/>
      </c>
      <c r="C887" s="87">
        <f>IF(Database!B887="","",Database!A887)</f>
        <v/>
      </c>
      <c r="D887" s="30">
        <f>IF(Database!B887="","",Database!D887)</f>
        <v/>
      </c>
      <c r="E887" s="30">
        <f>IF(Database!B887="","",Database!E887)</f>
        <v/>
      </c>
      <c r="F887" s="30">
        <f>IF(Database!B887="","",Database!F887)</f>
        <v/>
      </c>
      <c r="G887" s="30">
        <f>IF(Database!B887="","",Database!G887)</f>
        <v/>
      </c>
      <c r="H887" s="30">
        <f>IF(Database!B887="","",Database!C887)</f>
        <v/>
      </c>
      <c r="I887" s="30">
        <f>IF(Database!B887="","",Database!H887)</f>
        <v/>
      </c>
      <c r="J887" s="31" t="n"/>
      <c r="K887" s="88" t="n"/>
      <c r="L887" s="31" t="n"/>
      <c r="M887" s="31" t="n"/>
      <c r="N887" s="31" t="n"/>
      <c r="O887" s="32" t="n"/>
    </row>
    <row r="888">
      <c r="A888" s="30">
        <f>IF(Database!B888="","",ROW()-1)</f>
        <v/>
      </c>
      <c r="B888" s="30">
        <f>IF(Database!B888="","",Database!B888)</f>
        <v/>
      </c>
      <c r="C888" s="87">
        <f>IF(Database!B888="","",Database!A888)</f>
        <v/>
      </c>
      <c r="D888" s="30">
        <f>IF(Database!B888="","",Database!D888)</f>
        <v/>
      </c>
      <c r="E888" s="30">
        <f>IF(Database!B888="","",Database!E888)</f>
        <v/>
      </c>
      <c r="F888" s="30">
        <f>IF(Database!B888="","",Database!F888)</f>
        <v/>
      </c>
      <c r="G888" s="30">
        <f>IF(Database!B888="","",Database!G888)</f>
        <v/>
      </c>
      <c r="H888" s="30">
        <f>IF(Database!B888="","",Database!C888)</f>
        <v/>
      </c>
      <c r="I888" s="30">
        <f>IF(Database!B888="","",Database!H888)</f>
        <v/>
      </c>
      <c r="J888" s="31" t="n"/>
      <c r="K888" s="88" t="n"/>
      <c r="L888" s="31" t="n"/>
      <c r="M888" s="31" t="n"/>
      <c r="N888" s="31" t="n"/>
      <c r="O888" s="32" t="n"/>
    </row>
    <row r="889">
      <c r="A889" s="30">
        <f>IF(Database!B889="","",ROW()-1)</f>
        <v/>
      </c>
      <c r="B889" s="30">
        <f>IF(Database!B889="","",Database!B889)</f>
        <v/>
      </c>
      <c r="C889" s="87">
        <f>IF(Database!B889="","",Database!A889)</f>
        <v/>
      </c>
      <c r="D889" s="30">
        <f>IF(Database!B889="","",Database!D889)</f>
        <v/>
      </c>
      <c r="E889" s="30">
        <f>IF(Database!B889="","",Database!E889)</f>
        <v/>
      </c>
      <c r="F889" s="30">
        <f>IF(Database!B889="","",Database!F889)</f>
        <v/>
      </c>
      <c r="G889" s="30">
        <f>IF(Database!B889="","",Database!G889)</f>
        <v/>
      </c>
      <c r="H889" s="30">
        <f>IF(Database!B889="","",Database!C889)</f>
        <v/>
      </c>
      <c r="I889" s="30">
        <f>IF(Database!B889="","",Database!H889)</f>
        <v/>
      </c>
      <c r="J889" s="31" t="n"/>
      <c r="K889" s="88" t="n"/>
      <c r="L889" s="31" t="n"/>
      <c r="M889" s="31" t="n"/>
      <c r="N889" s="31" t="n"/>
      <c r="O889" s="32" t="n"/>
    </row>
    <row r="890">
      <c r="A890" s="30">
        <f>IF(Database!B890="","",ROW()-1)</f>
        <v/>
      </c>
      <c r="B890" s="30">
        <f>IF(Database!B890="","",Database!B890)</f>
        <v/>
      </c>
      <c r="C890" s="87">
        <f>IF(Database!B890="","",Database!A890)</f>
        <v/>
      </c>
      <c r="D890" s="30">
        <f>IF(Database!B890="","",Database!D890)</f>
        <v/>
      </c>
      <c r="E890" s="30">
        <f>IF(Database!B890="","",Database!E890)</f>
        <v/>
      </c>
      <c r="F890" s="30">
        <f>IF(Database!B890="","",Database!F890)</f>
        <v/>
      </c>
      <c r="G890" s="30">
        <f>IF(Database!B890="","",Database!G890)</f>
        <v/>
      </c>
      <c r="H890" s="30">
        <f>IF(Database!B890="","",Database!C890)</f>
        <v/>
      </c>
      <c r="I890" s="30">
        <f>IF(Database!B890="","",Database!H890)</f>
        <v/>
      </c>
      <c r="J890" s="31" t="n"/>
      <c r="K890" s="88" t="n"/>
      <c r="L890" s="31" t="n"/>
      <c r="M890" s="31" t="n"/>
      <c r="N890" s="31" t="n"/>
      <c r="O890" s="32" t="n"/>
    </row>
    <row r="891">
      <c r="A891" s="30">
        <f>IF(Database!B891="","",ROW()-1)</f>
        <v/>
      </c>
      <c r="B891" s="30">
        <f>IF(Database!B891="","",Database!B891)</f>
        <v/>
      </c>
      <c r="C891" s="87">
        <f>IF(Database!B891="","",Database!A891)</f>
        <v/>
      </c>
      <c r="D891" s="30">
        <f>IF(Database!B891="","",Database!D891)</f>
        <v/>
      </c>
      <c r="E891" s="30">
        <f>IF(Database!B891="","",Database!E891)</f>
        <v/>
      </c>
      <c r="F891" s="30">
        <f>IF(Database!B891="","",Database!F891)</f>
        <v/>
      </c>
      <c r="G891" s="30">
        <f>IF(Database!B891="","",Database!G891)</f>
        <v/>
      </c>
      <c r="H891" s="30">
        <f>IF(Database!B891="","",Database!C891)</f>
        <v/>
      </c>
      <c r="I891" s="30">
        <f>IF(Database!B891="","",Database!H891)</f>
        <v/>
      </c>
      <c r="J891" s="31" t="n"/>
      <c r="K891" s="88" t="n"/>
      <c r="L891" s="31" t="n"/>
      <c r="M891" s="31" t="n"/>
      <c r="N891" s="31" t="n"/>
      <c r="O891" s="32" t="n"/>
    </row>
    <row r="892">
      <c r="A892" s="30">
        <f>IF(Database!B892="","",ROW()-1)</f>
        <v/>
      </c>
      <c r="B892" s="30">
        <f>IF(Database!B892="","",Database!B892)</f>
        <v/>
      </c>
      <c r="C892" s="87">
        <f>IF(Database!B892="","",Database!A892)</f>
        <v/>
      </c>
      <c r="D892" s="30">
        <f>IF(Database!B892="","",Database!D892)</f>
        <v/>
      </c>
      <c r="E892" s="30">
        <f>IF(Database!B892="","",Database!E892)</f>
        <v/>
      </c>
      <c r="F892" s="30">
        <f>IF(Database!B892="","",Database!F892)</f>
        <v/>
      </c>
      <c r="G892" s="30">
        <f>IF(Database!B892="","",Database!G892)</f>
        <v/>
      </c>
      <c r="H892" s="30">
        <f>IF(Database!B892="","",Database!C892)</f>
        <v/>
      </c>
      <c r="I892" s="30">
        <f>IF(Database!B892="","",Database!H892)</f>
        <v/>
      </c>
      <c r="J892" s="31" t="n"/>
      <c r="K892" s="88" t="n"/>
      <c r="L892" s="31" t="n"/>
      <c r="M892" s="31" t="n"/>
      <c r="N892" s="31" t="n"/>
      <c r="O892" s="32" t="n"/>
    </row>
    <row r="893">
      <c r="A893" s="30">
        <f>IF(Database!B893="","",ROW()-1)</f>
        <v/>
      </c>
      <c r="B893" s="30">
        <f>IF(Database!B893="","",Database!B893)</f>
        <v/>
      </c>
      <c r="C893" s="87">
        <f>IF(Database!B893="","",Database!A893)</f>
        <v/>
      </c>
      <c r="D893" s="30">
        <f>IF(Database!B893="","",Database!D893)</f>
        <v/>
      </c>
      <c r="E893" s="30">
        <f>IF(Database!B893="","",Database!E893)</f>
        <v/>
      </c>
      <c r="F893" s="30">
        <f>IF(Database!B893="","",Database!F893)</f>
        <v/>
      </c>
      <c r="G893" s="30">
        <f>IF(Database!B893="","",Database!G893)</f>
        <v/>
      </c>
      <c r="H893" s="30">
        <f>IF(Database!B893="","",Database!C893)</f>
        <v/>
      </c>
      <c r="I893" s="30">
        <f>IF(Database!B893="","",Database!H893)</f>
        <v/>
      </c>
      <c r="J893" s="31" t="n"/>
      <c r="K893" s="88" t="n"/>
      <c r="L893" s="31" t="n"/>
      <c r="M893" s="31" t="n"/>
      <c r="N893" s="31" t="n"/>
      <c r="O893" s="32" t="n"/>
    </row>
    <row r="894">
      <c r="A894" s="30">
        <f>IF(Database!B894="","",ROW()-1)</f>
        <v/>
      </c>
      <c r="B894" s="30">
        <f>IF(Database!B894="","",Database!B894)</f>
        <v/>
      </c>
      <c r="C894" s="87">
        <f>IF(Database!B894="","",Database!A894)</f>
        <v/>
      </c>
      <c r="D894" s="30">
        <f>IF(Database!B894="","",Database!D894)</f>
        <v/>
      </c>
      <c r="E894" s="30">
        <f>IF(Database!B894="","",Database!E894)</f>
        <v/>
      </c>
      <c r="F894" s="30">
        <f>IF(Database!B894="","",Database!F894)</f>
        <v/>
      </c>
      <c r="G894" s="30">
        <f>IF(Database!B894="","",Database!G894)</f>
        <v/>
      </c>
      <c r="H894" s="30">
        <f>IF(Database!B894="","",Database!C894)</f>
        <v/>
      </c>
      <c r="I894" s="30">
        <f>IF(Database!B894="","",Database!H894)</f>
        <v/>
      </c>
      <c r="J894" s="31" t="n"/>
      <c r="K894" s="88" t="n"/>
      <c r="L894" s="31" t="n"/>
      <c r="M894" s="31" t="n"/>
      <c r="N894" s="31" t="n"/>
      <c r="O894" s="32" t="n"/>
    </row>
    <row r="895">
      <c r="A895" s="30">
        <f>IF(Database!B895="","",ROW()-1)</f>
        <v/>
      </c>
      <c r="B895" s="30">
        <f>IF(Database!B895="","",Database!B895)</f>
        <v/>
      </c>
      <c r="C895" s="87">
        <f>IF(Database!B895="","",Database!A895)</f>
        <v/>
      </c>
      <c r="D895" s="30">
        <f>IF(Database!B895="","",Database!D895)</f>
        <v/>
      </c>
      <c r="E895" s="30">
        <f>IF(Database!B895="","",Database!E895)</f>
        <v/>
      </c>
      <c r="F895" s="30">
        <f>IF(Database!B895="","",Database!F895)</f>
        <v/>
      </c>
      <c r="G895" s="30">
        <f>IF(Database!B895="","",Database!G895)</f>
        <v/>
      </c>
      <c r="H895" s="30">
        <f>IF(Database!B895="","",Database!C895)</f>
        <v/>
      </c>
      <c r="I895" s="30">
        <f>IF(Database!B895="","",Database!H895)</f>
        <v/>
      </c>
      <c r="J895" s="31" t="n"/>
      <c r="K895" s="88" t="n"/>
      <c r="L895" s="31" t="n"/>
      <c r="M895" s="31" t="n"/>
      <c r="N895" s="31" t="n"/>
      <c r="O895" s="32" t="n"/>
    </row>
    <row r="896">
      <c r="A896" s="30">
        <f>IF(Database!B896="","",ROW()-1)</f>
        <v/>
      </c>
      <c r="B896" s="30">
        <f>IF(Database!B896="","",Database!B896)</f>
        <v/>
      </c>
      <c r="C896" s="87">
        <f>IF(Database!B896="","",Database!A896)</f>
        <v/>
      </c>
      <c r="D896" s="30">
        <f>IF(Database!B896="","",Database!D896)</f>
        <v/>
      </c>
      <c r="E896" s="30">
        <f>IF(Database!B896="","",Database!E896)</f>
        <v/>
      </c>
      <c r="F896" s="30">
        <f>IF(Database!B896="","",Database!F896)</f>
        <v/>
      </c>
      <c r="G896" s="30">
        <f>IF(Database!B896="","",Database!G896)</f>
        <v/>
      </c>
      <c r="H896" s="30">
        <f>IF(Database!B896="","",Database!C896)</f>
        <v/>
      </c>
      <c r="I896" s="30">
        <f>IF(Database!B896="","",Database!H896)</f>
        <v/>
      </c>
      <c r="J896" s="31" t="n"/>
      <c r="K896" s="88" t="n"/>
      <c r="L896" s="31" t="n"/>
      <c r="M896" s="31" t="n"/>
      <c r="N896" s="31" t="n"/>
      <c r="O896" s="32" t="n"/>
    </row>
    <row r="897">
      <c r="A897" s="30">
        <f>IF(Database!B897="","",ROW()-1)</f>
        <v/>
      </c>
      <c r="B897" s="30">
        <f>IF(Database!B897="","",Database!B897)</f>
        <v/>
      </c>
      <c r="C897" s="87">
        <f>IF(Database!B897="","",Database!A897)</f>
        <v/>
      </c>
      <c r="D897" s="30">
        <f>IF(Database!B897="","",Database!D897)</f>
        <v/>
      </c>
      <c r="E897" s="30">
        <f>IF(Database!B897="","",Database!E897)</f>
        <v/>
      </c>
      <c r="F897" s="30">
        <f>IF(Database!B897="","",Database!F897)</f>
        <v/>
      </c>
      <c r="G897" s="30">
        <f>IF(Database!B897="","",Database!G897)</f>
        <v/>
      </c>
      <c r="H897" s="30">
        <f>IF(Database!B897="","",Database!C897)</f>
        <v/>
      </c>
      <c r="I897" s="30">
        <f>IF(Database!B897="","",Database!H897)</f>
        <v/>
      </c>
      <c r="J897" s="31" t="n"/>
      <c r="K897" s="88" t="n"/>
      <c r="L897" s="31" t="n"/>
      <c r="M897" s="31" t="n"/>
      <c r="N897" s="31" t="n"/>
      <c r="O897" s="32" t="n"/>
    </row>
    <row r="898">
      <c r="A898" s="30">
        <f>IF(Database!B898="","",ROW()-1)</f>
        <v/>
      </c>
      <c r="B898" s="30">
        <f>IF(Database!B898="","",Database!B898)</f>
        <v/>
      </c>
      <c r="C898" s="87">
        <f>IF(Database!B898="","",Database!A898)</f>
        <v/>
      </c>
      <c r="D898" s="30">
        <f>IF(Database!B898="","",Database!D898)</f>
        <v/>
      </c>
      <c r="E898" s="30">
        <f>IF(Database!B898="","",Database!E898)</f>
        <v/>
      </c>
      <c r="F898" s="30">
        <f>IF(Database!B898="","",Database!F898)</f>
        <v/>
      </c>
      <c r="G898" s="30">
        <f>IF(Database!B898="","",Database!G898)</f>
        <v/>
      </c>
      <c r="H898" s="30">
        <f>IF(Database!B898="","",Database!C898)</f>
        <v/>
      </c>
      <c r="I898" s="30">
        <f>IF(Database!B898="","",Database!H898)</f>
        <v/>
      </c>
      <c r="J898" s="31" t="n"/>
      <c r="K898" s="88" t="n"/>
      <c r="L898" s="31" t="n"/>
      <c r="M898" s="31" t="n"/>
      <c r="N898" s="31" t="n"/>
      <c r="O898" s="32" t="n"/>
    </row>
    <row r="899">
      <c r="A899" s="30">
        <f>IF(Database!B899="","",ROW()-1)</f>
        <v/>
      </c>
      <c r="B899" s="30">
        <f>IF(Database!B899="","",Database!B899)</f>
        <v/>
      </c>
      <c r="C899" s="87">
        <f>IF(Database!B899="","",Database!A899)</f>
        <v/>
      </c>
      <c r="D899" s="30">
        <f>IF(Database!B899="","",Database!D899)</f>
        <v/>
      </c>
      <c r="E899" s="30">
        <f>IF(Database!B899="","",Database!E899)</f>
        <v/>
      </c>
      <c r="F899" s="30">
        <f>IF(Database!B899="","",Database!F899)</f>
        <v/>
      </c>
      <c r="G899" s="30">
        <f>IF(Database!B899="","",Database!G899)</f>
        <v/>
      </c>
      <c r="H899" s="30">
        <f>IF(Database!B899="","",Database!C899)</f>
        <v/>
      </c>
      <c r="I899" s="30">
        <f>IF(Database!B899="","",Database!H899)</f>
        <v/>
      </c>
      <c r="J899" s="31" t="n"/>
      <c r="K899" s="88" t="n"/>
      <c r="L899" s="31" t="n"/>
      <c r="M899" s="31" t="n"/>
      <c r="N899" s="31" t="n"/>
      <c r="O899" s="32" t="n"/>
    </row>
    <row r="900">
      <c r="A900" s="30">
        <f>IF(Database!B900="","",ROW()-1)</f>
        <v/>
      </c>
      <c r="B900" s="30">
        <f>IF(Database!B900="","",Database!B900)</f>
        <v/>
      </c>
      <c r="C900" s="87">
        <f>IF(Database!B900="","",Database!A900)</f>
        <v/>
      </c>
      <c r="D900" s="30">
        <f>IF(Database!B900="","",Database!D900)</f>
        <v/>
      </c>
      <c r="E900" s="30">
        <f>IF(Database!B900="","",Database!E900)</f>
        <v/>
      </c>
      <c r="F900" s="30">
        <f>IF(Database!B900="","",Database!F900)</f>
        <v/>
      </c>
      <c r="G900" s="30">
        <f>IF(Database!B900="","",Database!G900)</f>
        <v/>
      </c>
      <c r="H900" s="30">
        <f>IF(Database!B900="","",Database!C900)</f>
        <v/>
      </c>
      <c r="I900" s="30">
        <f>IF(Database!B900="","",Database!H900)</f>
        <v/>
      </c>
      <c r="J900" s="31" t="n"/>
      <c r="K900" s="88" t="n"/>
      <c r="L900" s="31" t="n"/>
      <c r="M900" s="31" t="n"/>
      <c r="N900" s="31" t="n"/>
      <c r="O900" s="32" t="n"/>
    </row>
    <row r="901">
      <c r="A901" s="30">
        <f>IF(Database!B901="","",ROW()-1)</f>
        <v/>
      </c>
      <c r="B901" s="30">
        <f>IF(Database!B901="","",Database!B901)</f>
        <v/>
      </c>
      <c r="C901" s="87">
        <f>IF(Database!B901="","",Database!A901)</f>
        <v/>
      </c>
      <c r="D901" s="30">
        <f>IF(Database!B901="","",Database!D901)</f>
        <v/>
      </c>
      <c r="E901" s="30">
        <f>IF(Database!B901="","",Database!E901)</f>
        <v/>
      </c>
      <c r="F901" s="30">
        <f>IF(Database!B901="","",Database!F901)</f>
        <v/>
      </c>
      <c r="G901" s="30">
        <f>IF(Database!B901="","",Database!G901)</f>
        <v/>
      </c>
      <c r="H901" s="30">
        <f>IF(Database!B901="","",Database!C901)</f>
        <v/>
      </c>
      <c r="I901" s="30">
        <f>IF(Database!B901="","",Database!H901)</f>
        <v/>
      </c>
      <c r="J901" s="31" t="n"/>
      <c r="K901" s="88" t="n"/>
      <c r="L901" s="31" t="n"/>
      <c r="M901" s="31" t="n"/>
      <c r="N901" s="31" t="n"/>
      <c r="O901" s="32" t="n"/>
    </row>
    <row r="902">
      <c r="A902" s="30">
        <f>IF(Database!B902="","",ROW()-1)</f>
        <v/>
      </c>
      <c r="B902" s="30">
        <f>IF(Database!B902="","",Database!B902)</f>
        <v/>
      </c>
      <c r="C902" s="87">
        <f>IF(Database!B902="","",Database!A902)</f>
        <v/>
      </c>
      <c r="D902" s="30">
        <f>IF(Database!B902="","",Database!D902)</f>
        <v/>
      </c>
      <c r="E902" s="30">
        <f>IF(Database!B902="","",Database!E902)</f>
        <v/>
      </c>
      <c r="F902" s="30">
        <f>IF(Database!B902="","",Database!F902)</f>
        <v/>
      </c>
      <c r="G902" s="30">
        <f>IF(Database!B902="","",Database!G902)</f>
        <v/>
      </c>
      <c r="H902" s="30">
        <f>IF(Database!B902="","",Database!C902)</f>
        <v/>
      </c>
      <c r="I902" s="30">
        <f>IF(Database!B902="","",Database!H902)</f>
        <v/>
      </c>
      <c r="J902" s="31" t="n"/>
      <c r="K902" s="88" t="n"/>
      <c r="L902" s="31" t="n"/>
      <c r="M902" s="31" t="n"/>
      <c r="N902" s="31" t="n"/>
      <c r="O902" s="32" t="n"/>
    </row>
    <row r="903">
      <c r="A903" s="30">
        <f>IF(Database!B903="","",ROW()-1)</f>
        <v/>
      </c>
      <c r="B903" s="30">
        <f>IF(Database!B903="","",Database!B903)</f>
        <v/>
      </c>
      <c r="C903" s="87">
        <f>IF(Database!B903="","",Database!A903)</f>
        <v/>
      </c>
      <c r="D903" s="30">
        <f>IF(Database!B903="","",Database!D903)</f>
        <v/>
      </c>
      <c r="E903" s="30">
        <f>IF(Database!B903="","",Database!E903)</f>
        <v/>
      </c>
      <c r="F903" s="30">
        <f>IF(Database!B903="","",Database!F903)</f>
        <v/>
      </c>
      <c r="G903" s="30">
        <f>IF(Database!B903="","",Database!G903)</f>
        <v/>
      </c>
      <c r="H903" s="30">
        <f>IF(Database!B903="","",Database!C903)</f>
        <v/>
      </c>
      <c r="I903" s="30">
        <f>IF(Database!B903="","",Database!H903)</f>
        <v/>
      </c>
      <c r="J903" s="31" t="n"/>
      <c r="K903" s="88" t="n"/>
      <c r="L903" s="31" t="n"/>
      <c r="M903" s="31" t="n"/>
      <c r="N903" s="31" t="n"/>
      <c r="O903" s="32" t="n"/>
    </row>
    <row r="904">
      <c r="A904" s="30">
        <f>IF(Database!B904="","",ROW()-1)</f>
        <v/>
      </c>
      <c r="B904" s="30">
        <f>IF(Database!B904="","",Database!B904)</f>
        <v/>
      </c>
      <c r="C904" s="87">
        <f>IF(Database!B904="","",Database!A904)</f>
        <v/>
      </c>
      <c r="D904" s="30">
        <f>IF(Database!B904="","",Database!D904)</f>
        <v/>
      </c>
      <c r="E904" s="30">
        <f>IF(Database!B904="","",Database!E904)</f>
        <v/>
      </c>
      <c r="F904" s="30">
        <f>IF(Database!B904="","",Database!F904)</f>
        <v/>
      </c>
      <c r="G904" s="30">
        <f>IF(Database!B904="","",Database!G904)</f>
        <v/>
      </c>
      <c r="H904" s="30">
        <f>IF(Database!B904="","",Database!C904)</f>
        <v/>
      </c>
      <c r="I904" s="30">
        <f>IF(Database!B904="","",Database!H904)</f>
        <v/>
      </c>
      <c r="J904" s="31" t="n"/>
      <c r="K904" s="88" t="n"/>
      <c r="L904" s="31" t="n"/>
      <c r="M904" s="31" t="n"/>
      <c r="N904" s="31" t="n"/>
      <c r="O904" s="32" t="n"/>
    </row>
    <row r="905">
      <c r="A905" s="30">
        <f>IF(Database!B905="","",ROW()-1)</f>
        <v/>
      </c>
      <c r="B905" s="30">
        <f>IF(Database!B905="","",Database!B905)</f>
        <v/>
      </c>
      <c r="C905" s="87">
        <f>IF(Database!B905="","",Database!A905)</f>
        <v/>
      </c>
      <c r="D905" s="30">
        <f>IF(Database!B905="","",Database!D905)</f>
        <v/>
      </c>
      <c r="E905" s="30">
        <f>IF(Database!B905="","",Database!E905)</f>
        <v/>
      </c>
      <c r="F905" s="30">
        <f>IF(Database!B905="","",Database!F905)</f>
        <v/>
      </c>
      <c r="G905" s="30">
        <f>IF(Database!B905="","",Database!G905)</f>
        <v/>
      </c>
      <c r="H905" s="30">
        <f>IF(Database!B905="","",Database!C905)</f>
        <v/>
      </c>
      <c r="I905" s="30">
        <f>IF(Database!B905="","",Database!H905)</f>
        <v/>
      </c>
      <c r="J905" s="31" t="n"/>
      <c r="K905" s="88" t="n"/>
      <c r="L905" s="31" t="n"/>
      <c r="M905" s="31" t="n"/>
      <c r="N905" s="31" t="n"/>
      <c r="O905" s="32" t="n"/>
    </row>
    <row r="906">
      <c r="A906" s="30">
        <f>IF(Database!B906="","",ROW()-1)</f>
        <v/>
      </c>
      <c r="B906" s="30">
        <f>IF(Database!B906="","",Database!B906)</f>
        <v/>
      </c>
      <c r="C906" s="87">
        <f>IF(Database!B906="","",Database!A906)</f>
        <v/>
      </c>
      <c r="D906" s="30">
        <f>IF(Database!B906="","",Database!D906)</f>
        <v/>
      </c>
      <c r="E906" s="30">
        <f>IF(Database!B906="","",Database!E906)</f>
        <v/>
      </c>
      <c r="F906" s="30">
        <f>IF(Database!B906="","",Database!F906)</f>
        <v/>
      </c>
      <c r="G906" s="30">
        <f>IF(Database!B906="","",Database!G906)</f>
        <v/>
      </c>
      <c r="H906" s="30">
        <f>IF(Database!B906="","",Database!C906)</f>
        <v/>
      </c>
      <c r="I906" s="30">
        <f>IF(Database!B906="","",Database!H906)</f>
        <v/>
      </c>
      <c r="J906" s="31" t="n"/>
      <c r="K906" s="88" t="n"/>
      <c r="L906" s="31" t="n"/>
      <c r="M906" s="31" t="n"/>
      <c r="N906" s="31" t="n"/>
      <c r="O906" s="32" t="n"/>
    </row>
    <row r="907">
      <c r="A907" s="30">
        <f>IF(Database!B907="","",ROW()-1)</f>
        <v/>
      </c>
      <c r="B907" s="30">
        <f>IF(Database!B907="","",Database!B907)</f>
        <v/>
      </c>
      <c r="C907" s="87">
        <f>IF(Database!B907="","",Database!A907)</f>
        <v/>
      </c>
      <c r="D907" s="30">
        <f>IF(Database!B907="","",Database!D907)</f>
        <v/>
      </c>
      <c r="E907" s="30">
        <f>IF(Database!B907="","",Database!E907)</f>
        <v/>
      </c>
      <c r="F907" s="30">
        <f>IF(Database!B907="","",Database!F907)</f>
        <v/>
      </c>
      <c r="G907" s="30">
        <f>IF(Database!B907="","",Database!G907)</f>
        <v/>
      </c>
      <c r="H907" s="30">
        <f>IF(Database!B907="","",Database!C907)</f>
        <v/>
      </c>
      <c r="I907" s="30">
        <f>IF(Database!B907="","",Database!H907)</f>
        <v/>
      </c>
      <c r="J907" s="31" t="n"/>
      <c r="K907" s="88" t="n"/>
      <c r="L907" s="31" t="n"/>
      <c r="M907" s="31" t="n"/>
      <c r="N907" s="31" t="n"/>
      <c r="O907" s="32" t="n"/>
    </row>
    <row r="908">
      <c r="A908" s="30">
        <f>IF(Database!B908="","",ROW()-1)</f>
        <v/>
      </c>
      <c r="B908" s="30">
        <f>IF(Database!B908="","",Database!B908)</f>
        <v/>
      </c>
      <c r="C908" s="87">
        <f>IF(Database!B908="","",Database!A908)</f>
        <v/>
      </c>
      <c r="D908" s="30">
        <f>IF(Database!B908="","",Database!D908)</f>
        <v/>
      </c>
      <c r="E908" s="30">
        <f>IF(Database!B908="","",Database!E908)</f>
        <v/>
      </c>
      <c r="F908" s="30">
        <f>IF(Database!B908="","",Database!F908)</f>
        <v/>
      </c>
      <c r="G908" s="30">
        <f>IF(Database!B908="","",Database!G908)</f>
        <v/>
      </c>
      <c r="H908" s="30">
        <f>IF(Database!B908="","",Database!C908)</f>
        <v/>
      </c>
      <c r="I908" s="30">
        <f>IF(Database!B908="","",Database!H908)</f>
        <v/>
      </c>
      <c r="J908" s="31" t="n"/>
      <c r="K908" s="88" t="n"/>
      <c r="L908" s="31" t="n"/>
      <c r="M908" s="31" t="n"/>
      <c r="N908" s="31" t="n"/>
      <c r="O908" s="32" t="n"/>
    </row>
    <row r="909">
      <c r="A909" s="30">
        <f>IF(Database!B909="","",ROW()-1)</f>
        <v/>
      </c>
      <c r="B909" s="30">
        <f>IF(Database!B909="","",Database!B909)</f>
        <v/>
      </c>
      <c r="C909" s="87">
        <f>IF(Database!B909="","",Database!A909)</f>
        <v/>
      </c>
      <c r="D909" s="30">
        <f>IF(Database!B909="","",Database!D909)</f>
        <v/>
      </c>
      <c r="E909" s="30">
        <f>IF(Database!B909="","",Database!E909)</f>
        <v/>
      </c>
      <c r="F909" s="30">
        <f>IF(Database!B909="","",Database!F909)</f>
        <v/>
      </c>
      <c r="G909" s="30">
        <f>IF(Database!B909="","",Database!G909)</f>
        <v/>
      </c>
      <c r="H909" s="30">
        <f>IF(Database!B909="","",Database!C909)</f>
        <v/>
      </c>
      <c r="I909" s="30">
        <f>IF(Database!B909="","",Database!H909)</f>
        <v/>
      </c>
      <c r="J909" s="31" t="n"/>
      <c r="K909" s="88" t="n"/>
      <c r="L909" s="31" t="n"/>
      <c r="M909" s="31" t="n"/>
      <c r="N909" s="31" t="n"/>
      <c r="O909" s="32" t="n"/>
    </row>
    <row r="910">
      <c r="A910" s="30">
        <f>IF(Database!B910="","",ROW()-1)</f>
        <v/>
      </c>
      <c r="B910" s="30">
        <f>IF(Database!B910="","",Database!B910)</f>
        <v/>
      </c>
      <c r="C910" s="87">
        <f>IF(Database!B910="","",Database!A910)</f>
        <v/>
      </c>
      <c r="D910" s="30">
        <f>IF(Database!B910="","",Database!D910)</f>
        <v/>
      </c>
      <c r="E910" s="30">
        <f>IF(Database!B910="","",Database!E910)</f>
        <v/>
      </c>
      <c r="F910" s="30">
        <f>IF(Database!B910="","",Database!F910)</f>
        <v/>
      </c>
      <c r="G910" s="30">
        <f>IF(Database!B910="","",Database!G910)</f>
        <v/>
      </c>
      <c r="H910" s="30">
        <f>IF(Database!B910="","",Database!C910)</f>
        <v/>
      </c>
      <c r="I910" s="30">
        <f>IF(Database!B910="","",Database!H910)</f>
        <v/>
      </c>
      <c r="J910" s="31" t="n"/>
      <c r="K910" s="88" t="n"/>
      <c r="L910" s="31" t="n"/>
      <c r="M910" s="31" t="n"/>
      <c r="N910" s="31" t="n"/>
      <c r="O910" s="32" t="n"/>
    </row>
    <row r="911">
      <c r="A911" s="30">
        <f>IF(Database!B911="","",ROW()-1)</f>
        <v/>
      </c>
      <c r="B911" s="30">
        <f>IF(Database!B911="","",Database!B911)</f>
        <v/>
      </c>
      <c r="C911" s="87">
        <f>IF(Database!B911="","",Database!A911)</f>
        <v/>
      </c>
      <c r="D911" s="30">
        <f>IF(Database!B911="","",Database!D911)</f>
        <v/>
      </c>
      <c r="E911" s="30">
        <f>IF(Database!B911="","",Database!E911)</f>
        <v/>
      </c>
      <c r="F911" s="30">
        <f>IF(Database!B911="","",Database!F911)</f>
        <v/>
      </c>
      <c r="G911" s="30">
        <f>IF(Database!B911="","",Database!G911)</f>
        <v/>
      </c>
      <c r="H911" s="30">
        <f>IF(Database!B911="","",Database!C911)</f>
        <v/>
      </c>
      <c r="I911" s="30">
        <f>IF(Database!B911="","",Database!H911)</f>
        <v/>
      </c>
      <c r="J911" s="31" t="n"/>
      <c r="K911" s="88" t="n"/>
      <c r="L911" s="31" t="n"/>
      <c r="M911" s="31" t="n"/>
      <c r="N911" s="31" t="n"/>
      <c r="O911" s="32" t="n"/>
    </row>
    <row r="912">
      <c r="A912" s="30">
        <f>IF(Database!B912="","",ROW()-1)</f>
        <v/>
      </c>
      <c r="B912" s="30">
        <f>IF(Database!B912="","",Database!B912)</f>
        <v/>
      </c>
      <c r="C912" s="87">
        <f>IF(Database!B912="","",Database!A912)</f>
        <v/>
      </c>
      <c r="D912" s="30">
        <f>IF(Database!B912="","",Database!D912)</f>
        <v/>
      </c>
      <c r="E912" s="30">
        <f>IF(Database!B912="","",Database!E912)</f>
        <v/>
      </c>
      <c r="F912" s="30">
        <f>IF(Database!B912="","",Database!F912)</f>
        <v/>
      </c>
      <c r="G912" s="30">
        <f>IF(Database!B912="","",Database!G912)</f>
        <v/>
      </c>
      <c r="H912" s="30">
        <f>IF(Database!B912="","",Database!C912)</f>
        <v/>
      </c>
      <c r="I912" s="30">
        <f>IF(Database!B912="","",Database!H912)</f>
        <v/>
      </c>
      <c r="J912" s="31" t="n"/>
      <c r="K912" s="88" t="n"/>
      <c r="L912" s="31" t="n"/>
      <c r="M912" s="31" t="n"/>
      <c r="N912" s="31" t="n"/>
      <c r="O912" s="32" t="n"/>
    </row>
    <row r="913">
      <c r="A913" s="30">
        <f>IF(Database!B913="","",ROW()-1)</f>
        <v/>
      </c>
      <c r="B913" s="30">
        <f>IF(Database!B913="","",Database!B913)</f>
        <v/>
      </c>
      <c r="C913" s="87">
        <f>IF(Database!B913="","",Database!A913)</f>
        <v/>
      </c>
      <c r="D913" s="30">
        <f>IF(Database!B913="","",Database!D913)</f>
        <v/>
      </c>
      <c r="E913" s="30">
        <f>IF(Database!B913="","",Database!E913)</f>
        <v/>
      </c>
      <c r="F913" s="30">
        <f>IF(Database!B913="","",Database!F913)</f>
        <v/>
      </c>
      <c r="G913" s="30">
        <f>IF(Database!B913="","",Database!G913)</f>
        <v/>
      </c>
      <c r="H913" s="30">
        <f>IF(Database!B913="","",Database!C913)</f>
        <v/>
      </c>
      <c r="I913" s="30">
        <f>IF(Database!B913="","",Database!H913)</f>
        <v/>
      </c>
      <c r="J913" s="31" t="n"/>
      <c r="K913" s="88" t="n"/>
      <c r="L913" s="31" t="n"/>
      <c r="M913" s="31" t="n"/>
      <c r="N913" s="31" t="n"/>
      <c r="O913" s="32" t="n"/>
    </row>
    <row r="914">
      <c r="A914" s="30">
        <f>IF(Database!B914="","",ROW()-1)</f>
        <v/>
      </c>
      <c r="B914" s="30">
        <f>IF(Database!B914="","",Database!B914)</f>
        <v/>
      </c>
      <c r="C914" s="87">
        <f>IF(Database!B914="","",Database!A914)</f>
        <v/>
      </c>
      <c r="D914" s="30">
        <f>IF(Database!B914="","",Database!D914)</f>
        <v/>
      </c>
      <c r="E914" s="30">
        <f>IF(Database!B914="","",Database!E914)</f>
        <v/>
      </c>
      <c r="F914" s="30">
        <f>IF(Database!B914="","",Database!F914)</f>
        <v/>
      </c>
      <c r="G914" s="30">
        <f>IF(Database!B914="","",Database!G914)</f>
        <v/>
      </c>
      <c r="H914" s="30">
        <f>IF(Database!B914="","",Database!C914)</f>
        <v/>
      </c>
      <c r="I914" s="30">
        <f>IF(Database!B914="","",Database!H914)</f>
        <v/>
      </c>
      <c r="J914" s="31" t="n"/>
      <c r="K914" s="88" t="n"/>
      <c r="L914" s="31" t="n"/>
      <c r="M914" s="31" t="n"/>
      <c r="N914" s="31" t="n"/>
      <c r="O914" s="32" t="n"/>
    </row>
    <row r="915">
      <c r="A915" s="30">
        <f>IF(Database!B915="","",ROW()-1)</f>
        <v/>
      </c>
      <c r="B915" s="30">
        <f>IF(Database!B915="","",Database!B915)</f>
        <v/>
      </c>
      <c r="C915" s="87">
        <f>IF(Database!B915="","",Database!A915)</f>
        <v/>
      </c>
      <c r="D915" s="30">
        <f>IF(Database!B915="","",Database!D915)</f>
        <v/>
      </c>
      <c r="E915" s="30">
        <f>IF(Database!B915="","",Database!E915)</f>
        <v/>
      </c>
      <c r="F915" s="30">
        <f>IF(Database!B915="","",Database!F915)</f>
        <v/>
      </c>
      <c r="G915" s="30">
        <f>IF(Database!B915="","",Database!G915)</f>
        <v/>
      </c>
      <c r="H915" s="30">
        <f>IF(Database!B915="","",Database!C915)</f>
        <v/>
      </c>
      <c r="I915" s="30">
        <f>IF(Database!B915="","",Database!H915)</f>
        <v/>
      </c>
      <c r="J915" s="31" t="n"/>
      <c r="K915" s="88" t="n"/>
      <c r="L915" s="31" t="n"/>
      <c r="M915" s="31" t="n"/>
      <c r="N915" s="31" t="n"/>
      <c r="O915" s="32" t="n"/>
    </row>
    <row r="916">
      <c r="A916" s="30">
        <f>IF(Database!B916="","",ROW()-1)</f>
        <v/>
      </c>
      <c r="B916" s="30">
        <f>IF(Database!B916="","",Database!B916)</f>
        <v/>
      </c>
      <c r="C916" s="87">
        <f>IF(Database!B916="","",Database!A916)</f>
        <v/>
      </c>
      <c r="D916" s="30">
        <f>IF(Database!B916="","",Database!D916)</f>
        <v/>
      </c>
      <c r="E916" s="30">
        <f>IF(Database!B916="","",Database!E916)</f>
        <v/>
      </c>
      <c r="F916" s="30">
        <f>IF(Database!B916="","",Database!F916)</f>
        <v/>
      </c>
      <c r="G916" s="30">
        <f>IF(Database!B916="","",Database!G916)</f>
        <v/>
      </c>
      <c r="H916" s="30">
        <f>IF(Database!B916="","",Database!C916)</f>
        <v/>
      </c>
      <c r="I916" s="30">
        <f>IF(Database!B916="","",Database!H916)</f>
        <v/>
      </c>
      <c r="J916" s="31" t="n"/>
      <c r="K916" s="88" t="n"/>
      <c r="L916" s="31" t="n"/>
      <c r="M916" s="31" t="n"/>
      <c r="N916" s="31" t="n"/>
      <c r="O916" s="32" t="n"/>
    </row>
    <row r="917">
      <c r="A917" s="30">
        <f>IF(Database!B917="","",ROW()-1)</f>
        <v/>
      </c>
      <c r="B917" s="30">
        <f>IF(Database!B917="","",Database!B917)</f>
        <v/>
      </c>
      <c r="C917" s="87">
        <f>IF(Database!B917="","",Database!A917)</f>
        <v/>
      </c>
      <c r="D917" s="30">
        <f>IF(Database!B917="","",Database!D917)</f>
        <v/>
      </c>
      <c r="E917" s="30">
        <f>IF(Database!B917="","",Database!E917)</f>
        <v/>
      </c>
      <c r="F917" s="30">
        <f>IF(Database!B917="","",Database!F917)</f>
        <v/>
      </c>
      <c r="G917" s="30">
        <f>IF(Database!B917="","",Database!G917)</f>
        <v/>
      </c>
      <c r="H917" s="30">
        <f>IF(Database!B917="","",Database!C917)</f>
        <v/>
      </c>
      <c r="I917" s="30">
        <f>IF(Database!B917="","",Database!H917)</f>
        <v/>
      </c>
      <c r="J917" s="31" t="n"/>
      <c r="K917" s="88" t="n"/>
      <c r="L917" s="31" t="n"/>
      <c r="M917" s="31" t="n"/>
      <c r="N917" s="31" t="n"/>
      <c r="O917" s="32" t="n"/>
    </row>
    <row r="918">
      <c r="A918" s="30">
        <f>IF(Database!B918="","",ROW()-1)</f>
        <v/>
      </c>
      <c r="B918" s="30">
        <f>IF(Database!B918="","",Database!B918)</f>
        <v/>
      </c>
      <c r="C918" s="87">
        <f>IF(Database!B918="","",Database!A918)</f>
        <v/>
      </c>
      <c r="D918" s="30">
        <f>IF(Database!B918="","",Database!D918)</f>
        <v/>
      </c>
      <c r="E918" s="30">
        <f>IF(Database!B918="","",Database!E918)</f>
        <v/>
      </c>
      <c r="F918" s="30">
        <f>IF(Database!B918="","",Database!F918)</f>
        <v/>
      </c>
      <c r="G918" s="30">
        <f>IF(Database!B918="","",Database!G918)</f>
        <v/>
      </c>
      <c r="H918" s="30">
        <f>IF(Database!B918="","",Database!C918)</f>
        <v/>
      </c>
      <c r="I918" s="30">
        <f>IF(Database!B918="","",Database!H918)</f>
        <v/>
      </c>
      <c r="J918" s="31" t="n"/>
      <c r="K918" s="88" t="n"/>
      <c r="L918" s="31" t="n"/>
      <c r="M918" s="31" t="n"/>
      <c r="N918" s="31" t="n"/>
      <c r="O918" s="32" t="n"/>
    </row>
    <row r="919">
      <c r="A919" s="30">
        <f>IF(Database!B919="","",ROW()-1)</f>
        <v/>
      </c>
      <c r="B919" s="30">
        <f>IF(Database!B919="","",Database!B919)</f>
        <v/>
      </c>
      <c r="C919" s="87">
        <f>IF(Database!B919="","",Database!A919)</f>
        <v/>
      </c>
      <c r="D919" s="30">
        <f>IF(Database!B919="","",Database!D919)</f>
        <v/>
      </c>
      <c r="E919" s="30">
        <f>IF(Database!B919="","",Database!E919)</f>
        <v/>
      </c>
      <c r="F919" s="30">
        <f>IF(Database!B919="","",Database!F919)</f>
        <v/>
      </c>
      <c r="G919" s="30">
        <f>IF(Database!B919="","",Database!G919)</f>
        <v/>
      </c>
      <c r="H919" s="30">
        <f>IF(Database!B919="","",Database!C919)</f>
        <v/>
      </c>
      <c r="I919" s="30">
        <f>IF(Database!B919="","",Database!H919)</f>
        <v/>
      </c>
      <c r="J919" s="31" t="n"/>
      <c r="K919" s="88" t="n"/>
      <c r="L919" s="31" t="n"/>
      <c r="M919" s="31" t="n"/>
      <c r="N919" s="31" t="n"/>
      <c r="O919" s="32" t="n"/>
    </row>
    <row r="920">
      <c r="A920" s="30">
        <f>IF(Database!B920="","",ROW()-1)</f>
        <v/>
      </c>
      <c r="B920" s="30">
        <f>IF(Database!B920="","",Database!B920)</f>
        <v/>
      </c>
      <c r="C920" s="87">
        <f>IF(Database!B920="","",Database!A920)</f>
        <v/>
      </c>
      <c r="D920" s="30">
        <f>IF(Database!B920="","",Database!D920)</f>
        <v/>
      </c>
      <c r="E920" s="30">
        <f>IF(Database!B920="","",Database!E920)</f>
        <v/>
      </c>
      <c r="F920" s="30">
        <f>IF(Database!B920="","",Database!F920)</f>
        <v/>
      </c>
      <c r="G920" s="30">
        <f>IF(Database!B920="","",Database!G920)</f>
        <v/>
      </c>
      <c r="H920" s="30">
        <f>IF(Database!B920="","",Database!C920)</f>
        <v/>
      </c>
      <c r="I920" s="30">
        <f>IF(Database!B920="","",Database!H920)</f>
        <v/>
      </c>
      <c r="J920" s="31" t="n"/>
      <c r="K920" s="88" t="n"/>
      <c r="L920" s="31" t="n"/>
      <c r="M920" s="31" t="n"/>
      <c r="N920" s="31" t="n"/>
      <c r="O920" s="32" t="n"/>
    </row>
    <row r="921">
      <c r="A921" s="30">
        <f>IF(Database!B921="","",ROW()-1)</f>
        <v/>
      </c>
      <c r="B921" s="30">
        <f>IF(Database!B921="","",Database!B921)</f>
        <v/>
      </c>
      <c r="C921" s="87">
        <f>IF(Database!B921="","",Database!A921)</f>
        <v/>
      </c>
      <c r="D921" s="30">
        <f>IF(Database!B921="","",Database!D921)</f>
        <v/>
      </c>
      <c r="E921" s="30">
        <f>IF(Database!B921="","",Database!E921)</f>
        <v/>
      </c>
      <c r="F921" s="30">
        <f>IF(Database!B921="","",Database!F921)</f>
        <v/>
      </c>
      <c r="G921" s="30">
        <f>IF(Database!B921="","",Database!G921)</f>
        <v/>
      </c>
      <c r="H921" s="30">
        <f>IF(Database!B921="","",Database!C921)</f>
        <v/>
      </c>
      <c r="I921" s="30">
        <f>IF(Database!B921="","",Database!H921)</f>
        <v/>
      </c>
      <c r="J921" s="31" t="n"/>
      <c r="K921" s="88" t="n"/>
      <c r="L921" s="31" t="n"/>
      <c r="M921" s="31" t="n"/>
      <c r="N921" s="31" t="n"/>
      <c r="O921" s="32" t="n"/>
    </row>
    <row r="922">
      <c r="A922" s="30">
        <f>IF(Database!B922="","",ROW()-1)</f>
        <v/>
      </c>
      <c r="B922" s="30">
        <f>IF(Database!B922="","",Database!B922)</f>
        <v/>
      </c>
      <c r="C922" s="87">
        <f>IF(Database!B922="","",Database!A922)</f>
        <v/>
      </c>
      <c r="D922" s="30">
        <f>IF(Database!B922="","",Database!D922)</f>
        <v/>
      </c>
      <c r="E922" s="30">
        <f>IF(Database!B922="","",Database!E922)</f>
        <v/>
      </c>
      <c r="F922" s="30">
        <f>IF(Database!B922="","",Database!F922)</f>
        <v/>
      </c>
      <c r="G922" s="30">
        <f>IF(Database!B922="","",Database!G922)</f>
        <v/>
      </c>
      <c r="H922" s="30">
        <f>IF(Database!B922="","",Database!C922)</f>
        <v/>
      </c>
      <c r="I922" s="30">
        <f>IF(Database!B922="","",Database!H922)</f>
        <v/>
      </c>
      <c r="J922" s="31" t="n"/>
      <c r="K922" s="88" t="n"/>
      <c r="L922" s="31" t="n"/>
      <c r="M922" s="31" t="n"/>
      <c r="N922" s="31" t="n"/>
      <c r="O922" s="32" t="n"/>
    </row>
    <row r="923">
      <c r="A923" s="30">
        <f>IF(Database!B923="","",ROW()-1)</f>
        <v/>
      </c>
      <c r="B923" s="30">
        <f>IF(Database!B923="","",Database!B923)</f>
        <v/>
      </c>
      <c r="C923" s="87">
        <f>IF(Database!B923="","",Database!A923)</f>
        <v/>
      </c>
      <c r="D923" s="30">
        <f>IF(Database!B923="","",Database!D923)</f>
        <v/>
      </c>
      <c r="E923" s="30">
        <f>IF(Database!B923="","",Database!E923)</f>
        <v/>
      </c>
      <c r="F923" s="30">
        <f>IF(Database!B923="","",Database!F923)</f>
        <v/>
      </c>
      <c r="G923" s="30">
        <f>IF(Database!B923="","",Database!G923)</f>
        <v/>
      </c>
      <c r="H923" s="30">
        <f>IF(Database!B923="","",Database!C923)</f>
        <v/>
      </c>
      <c r="I923" s="30">
        <f>IF(Database!B923="","",Database!H923)</f>
        <v/>
      </c>
      <c r="J923" s="31" t="n"/>
      <c r="K923" s="88" t="n"/>
      <c r="L923" s="31" t="n"/>
      <c r="M923" s="31" t="n"/>
      <c r="N923" s="31" t="n"/>
      <c r="O923" s="32" t="n"/>
    </row>
    <row r="924">
      <c r="A924" s="30">
        <f>IF(Database!B924="","",ROW()-1)</f>
        <v/>
      </c>
      <c r="B924" s="30">
        <f>IF(Database!B924="","",Database!B924)</f>
        <v/>
      </c>
      <c r="C924" s="87">
        <f>IF(Database!B924="","",Database!A924)</f>
        <v/>
      </c>
      <c r="D924" s="30">
        <f>IF(Database!B924="","",Database!D924)</f>
        <v/>
      </c>
      <c r="E924" s="30">
        <f>IF(Database!B924="","",Database!E924)</f>
        <v/>
      </c>
      <c r="F924" s="30">
        <f>IF(Database!B924="","",Database!F924)</f>
        <v/>
      </c>
      <c r="G924" s="30">
        <f>IF(Database!B924="","",Database!G924)</f>
        <v/>
      </c>
      <c r="H924" s="30">
        <f>IF(Database!B924="","",Database!C924)</f>
        <v/>
      </c>
      <c r="I924" s="30">
        <f>IF(Database!B924="","",Database!H924)</f>
        <v/>
      </c>
      <c r="J924" s="31" t="n"/>
      <c r="K924" s="88" t="n"/>
      <c r="L924" s="31" t="n"/>
      <c r="M924" s="31" t="n"/>
      <c r="N924" s="31" t="n"/>
      <c r="O924" s="32" t="n"/>
    </row>
    <row r="925">
      <c r="A925" s="30">
        <f>IF(Database!B925="","",ROW()-1)</f>
        <v/>
      </c>
      <c r="B925" s="30">
        <f>IF(Database!B925="","",Database!B925)</f>
        <v/>
      </c>
      <c r="C925" s="87">
        <f>IF(Database!B925="","",Database!A925)</f>
        <v/>
      </c>
      <c r="D925" s="30">
        <f>IF(Database!B925="","",Database!D925)</f>
        <v/>
      </c>
      <c r="E925" s="30">
        <f>IF(Database!B925="","",Database!E925)</f>
        <v/>
      </c>
      <c r="F925" s="30">
        <f>IF(Database!B925="","",Database!F925)</f>
        <v/>
      </c>
      <c r="G925" s="30">
        <f>IF(Database!B925="","",Database!G925)</f>
        <v/>
      </c>
      <c r="H925" s="30">
        <f>IF(Database!B925="","",Database!C925)</f>
        <v/>
      </c>
      <c r="I925" s="30">
        <f>IF(Database!B925="","",Database!H925)</f>
        <v/>
      </c>
      <c r="J925" s="31" t="n"/>
      <c r="K925" s="88" t="n"/>
      <c r="L925" s="31" t="n"/>
      <c r="M925" s="31" t="n"/>
      <c r="N925" s="31" t="n"/>
      <c r="O925" s="32" t="n"/>
    </row>
    <row r="926">
      <c r="A926" s="30">
        <f>IF(Database!B926="","",ROW()-1)</f>
        <v/>
      </c>
      <c r="B926" s="30">
        <f>IF(Database!B926="","",Database!B926)</f>
        <v/>
      </c>
      <c r="C926" s="87">
        <f>IF(Database!B926="","",Database!A926)</f>
        <v/>
      </c>
      <c r="D926" s="30">
        <f>IF(Database!B926="","",Database!D926)</f>
        <v/>
      </c>
      <c r="E926" s="30">
        <f>IF(Database!B926="","",Database!E926)</f>
        <v/>
      </c>
      <c r="F926" s="30">
        <f>IF(Database!B926="","",Database!F926)</f>
        <v/>
      </c>
      <c r="G926" s="30">
        <f>IF(Database!B926="","",Database!G926)</f>
        <v/>
      </c>
      <c r="H926" s="30">
        <f>IF(Database!B926="","",Database!C926)</f>
        <v/>
      </c>
      <c r="I926" s="30">
        <f>IF(Database!B926="","",Database!H926)</f>
        <v/>
      </c>
      <c r="J926" s="31" t="n"/>
      <c r="K926" s="88" t="n"/>
      <c r="L926" s="31" t="n"/>
      <c r="M926" s="31" t="n"/>
      <c r="N926" s="31" t="n"/>
      <c r="O926" s="32" t="n"/>
    </row>
    <row r="927">
      <c r="A927" s="30">
        <f>IF(Database!B927="","",ROW()-1)</f>
        <v/>
      </c>
      <c r="B927" s="30">
        <f>IF(Database!B927="","",Database!B927)</f>
        <v/>
      </c>
      <c r="C927" s="87">
        <f>IF(Database!B927="","",Database!A927)</f>
        <v/>
      </c>
      <c r="D927" s="30">
        <f>IF(Database!B927="","",Database!D927)</f>
        <v/>
      </c>
      <c r="E927" s="30">
        <f>IF(Database!B927="","",Database!E927)</f>
        <v/>
      </c>
      <c r="F927" s="30">
        <f>IF(Database!B927="","",Database!F927)</f>
        <v/>
      </c>
      <c r="G927" s="30">
        <f>IF(Database!B927="","",Database!G927)</f>
        <v/>
      </c>
      <c r="H927" s="30">
        <f>IF(Database!B927="","",Database!C927)</f>
        <v/>
      </c>
      <c r="I927" s="30">
        <f>IF(Database!B927="","",Database!H927)</f>
        <v/>
      </c>
      <c r="J927" s="31" t="n"/>
      <c r="K927" s="88" t="n"/>
      <c r="L927" s="31" t="n"/>
      <c r="M927" s="31" t="n"/>
      <c r="N927" s="31" t="n"/>
      <c r="O927" s="32" t="n"/>
    </row>
    <row r="928">
      <c r="A928" s="30">
        <f>IF(Database!B928="","",ROW()-1)</f>
        <v/>
      </c>
      <c r="B928" s="30">
        <f>IF(Database!B928="","",Database!B928)</f>
        <v/>
      </c>
      <c r="C928" s="87">
        <f>IF(Database!B928="","",Database!A928)</f>
        <v/>
      </c>
      <c r="D928" s="30">
        <f>IF(Database!B928="","",Database!D928)</f>
        <v/>
      </c>
      <c r="E928" s="30">
        <f>IF(Database!B928="","",Database!E928)</f>
        <v/>
      </c>
      <c r="F928" s="30">
        <f>IF(Database!B928="","",Database!F928)</f>
        <v/>
      </c>
      <c r="G928" s="30">
        <f>IF(Database!B928="","",Database!G928)</f>
        <v/>
      </c>
      <c r="H928" s="30">
        <f>IF(Database!B928="","",Database!C928)</f>
        <v/>
      </c>
      <c r="I928" s="30">
        <f>IF(Database!B928="","",Database!H928)</f>
        <v/>
      </c>
      <c r="J928" s="31" t="n"/>
      <c r="K928" s="88" t="n"/>
      <c r="L928" s="31" t="n"/>
      <c r="M928" s="31" t="n"/>
      <c r="N928" s="31" t="n"/>
      <c r="O928" s="32" t="n"/>
    </row>
    <row r="929">
      <c r="A929" s="30">
        <f>IF(Database!B929="","",ROW()-1)</f>
        <v/>
      </c>
      <c r="B929" s="30">
        <f>IF(Database!B929="","",Database!B929)</f>
        <v/>
      </c>
      <c r="C929" s="87">
        <f>IF(Database!B929="","",Database!A929)</f>
        <v/>
      </c>
      <c r="D929" s="30">
        <f>IF(Database!B929="","",Database!D929)</f>
        <v/>
      </c>
      <c r="E929" s="30">
        <f>IF(Database!B929="","",Database!E929)</f>
        <v/>
      </c>
      <c r="F929" s="30">
        <f>IF(Database!B929="","",Database!F929)</f>
        <v/>
      </c>
      <c r="G929" s="30">
        <f>IF(Database!B929="","",Database!G929)</f>
        <v/>
      </c>
      <c r="H929" s="30">
        <f>IF(Database!B929="","",Database!C929)</f>
        <v/>
      </c>
      <c r="I929" s="30">
        <f>IF(Database!B929="","",Database!H929)</f>
        <v/>
      </c>
      <c r="J929" s="31" t="n"/>
      <c r="K929" s="88" t="n"/>
      <c r="L929" s="31" t="n"/>
      <c r="M929" s="31" t="n"/>
      <c r="N929" s="31" t="n"/>
      <c r="O929" s="32" t="n"/>
    </row>
    <row r="930">
      <c r="A930" s="30">
        <f>IF(Database!B930="","",ROW()-1)</f>
        <v/>
      </c>
      <c r="B930" s="30">
        <f>IF(Database!B930="","",Database!B930)</f>
        <v/>
      </c>
      <c r="C930" s="87">
        <f>IF(Database!B930="","",Database!A930)</f>
        <v/>
      </c>
      <c r="D930" s="30">
        <f>IF(Database!B930="","",Database!D930)</f>
        <v/>
      </c>
      <c r="E930" s="30">
        <f>IF(Database!B930="","",Database!E930)</f>
        <v/>
      </c>
      <c r="F930" s="30">
        <f>IF(Database!B930="","",Database!F930)</f>
        <v/>
      </c>
      <c r="G930" s="30">
        <f>IF(Database!B930="","",Database!G930)</f>
        <v/>
      </c>
      <c r="H930" s="30">
        <f>IF(Database!B930="","",Database!C930)</f>
        <v/>
      </c>
      <c r="I930" s="30">
        <f>IF(Database!B930="","",Database!H930)</f>
        <v/>
      </c>
      <c r="J930" s="31" t="n"/>
      <c r="K930" s="88" t="n"/>
      <c r="L930" s="31" t="n"/>
      <c r="M930" s="31" t="n"/>
      <c r="N930" s="31" t="n"/>
      <c r="O930" s="32" t="n"/>
    </row>
    <row r="931">
      <c r="A931" s="30">
        <f>IF(Database!B931="","",ROW()-1)</f>
        <v/>
      </c>
      <c r="B931" s="30">
        <f>IF(Database!B931="","",Database!B931)</f>
        <v/>
      </c>
      <c r="C931" s="87">
        <f>IF(Database!B931="","",Database!A931)</f>
        <v/>
      </c>
      <c r="D931" s="30">
        <f>IF(Database!B931="","",Database!D931)</f>
        <v/>
      </c>
      <c r="E931" s="30">
        <f>IF(Database!B931="","",Database!E931)</f>
        <v/>
      </c>
      <c r="F931" s="30">
        <f>IF(Database!B931="","",Database!F931)</f>
        <v/>
      </c>
      <c r="G931" s="30">
        <f>IF(Database!B931="","",Database!G931)</f>
        <v/>
      </c>
      <c r="H931" s="30">
        <f>IF(Database!B931="","",Database!C931)</f>
        <v/>
      </c>
      <c r="I931" s="30">
        <f>IF(Database!B931="","",Database!H931)</f>
        <v/>
      </c>
      <c r="J931" s="31" t="n"/>
      <c r="K931" s="88" t="n"/>
      <c r="L931" s="31" t="n"/>
      <c r="M931" s="31" t="n"/>
      <c r="N931" s="31" t="n"/>
      <c r="O931" s="32" t="n"/>
    </row>
    <row r="932">
      <c r="A932" s="30">
        <f>IF(Database!B932="","",ROW()-1)</f>
        <v/>
      </c>
      <c r="B932" s="30">
        <f>IF(Database!B932="","",Database!B932)</f>
        <v/>
      </c>
      <c r="C932" s="87">
        <f>IF(Database!B932="","",Database!A932)</f>
        <v/>
      </c>
      <c r="D932" s="30">
        <f>IF(Database!B932="","",Database!D932)</f>
        <v/>
      </c>
      <c r="E932" s="30">
        <f>IF(Database!B932="","",Database!E932)</f>
        <v/>
      </c>
      <c r="F932" s="30">
        <f>IF(Database!B932="","",Database!F932)</f>
        <v/>
      </c>
      <c r="G932" s="30">
        <f>IF(Database!B932="","",Database!G932)</f>
        <v/>
      </c>
      <c r="H932" s="30">
        <f>IF(Database!B932="","",Database!C932)</f>
        <v/>
      </c>
      <c r="I932" s="30">
        <f>IF(Database!B932="","",Database!H932)</f>
        <v/>
      </c>
      <c r="J932" s="31" t="n"/>
      <c r="K932" s="88" t="n"/>
      <c r="L932" s="31" t="n"/>
      <c r="M932" s="31" t="n"/>
      <c r="N932" s="31" t="n"/>
      <c r="O932" s="32" t="n"/>
    </row>
    <row r="933">
      <c r="A933" s="30">
        <f>IF(Database!B933="","",ROW()-1)</f>
        <v/>
      </c>
      <c r="B933" s="30">
        <f>IF(Database!B933="","",Database!B933)</f>
        <v/>
      </c>
      <c r="C933" s="87">
        <f>IF(Database!B933="","",Database!A933)</f>
        <v/>
      </c>
      <c r="D933" s="30">
        <f>IF(Database!B933="","",Database!D933)</f>
        <v/>
      </c>
      <c r="E933" s="30">
        <f>IF(Database!B933="","",Database!E933)</f>
        <v/>
      </c>
      <c r="F933" s="30">
        <f>IF(Database!B933="","",Database!F933)</f>
        <v/>
      </c>
      <c r="G933" s="30">
        <f>IF(Database!B933="","",Database!G933)</f>
        <v/>
      </c>
      <c r="H933" s="30">
        <f>IF(Database!B933="","",Database!C933)</f>
        <v/>
      </c>
      <c r="I933" s="30">
        <f>IF(Database!B933="","",Database!H933)</f>
        <v/>
      </c>
      <c r="J933" s="31" t="n"/>
      <c r="K933" s="88" t="n"/>
      <c r="L933" s="31" t="n"/>
      <c r="M933" s="31" t="n"/>
      <c r="N933" s="31" t="n"/>
      <c r="O933" s="32" t="n"/>
    </row>
    <row r="934">
      <c r="A934" s="30">
        <f>IF(Database!B934="","",ROW()-1)</f>
        <v/>
      </c>
      <c r="B934" s="30">
        <f>IF(Database!B934="","",Database!B934)</f>
        <v/>
      </c>
      <c r="C934" s="87">
        <f>IF(Database!B934="","",Database!A934)</f>
        <v/>
      </c>
      <c r="D934" s="30">
        <f>IF(Database!B934="","",Database!D934)</f>
        <v/>
      </c>
      <c r="E934" s="30">
        <f>IF(Database!B934="","",Database!E934)</f>
        <v/>
      </c>
      <c r="F934" s="30">
        <f>IF(Database!B934="","",Database!F934)</f>
        <v/>
      </c>
      <c r="G934" s="30">
        <f>IF(Database!B934="","",Database!G934)</f>
        <v/>
      </c>
      <c r="H934" s="30">
        <f>IF(Database!B934="","",Database!C934)</f>
        <v/>
      </c>
      <c r="I934" s="30">
        <f>IF(Database!B934="","",Database!H934)</f>
        <v/>
      </c>
      <c r="J934" s="31" t="n"/>
      <c r="K934" s="88" t="n"/>
      <c r="L934" s="31" t="n"/>
      <c r="M934" s="31" t="n"/>
      <c r="N934" s="31" t="n"/>
      <c r="O934" s="32" t="n"/>
    </row>
    <row r="935">
      <c r="A935" s="30">
        <f>IF(Database!B935="","",ROW()-1)</f>
        <v/>
      </c>
      <c r="B935" s="30">
        <f>IF(Database!B935="","",Database!B935)</f>
        <v/>
      </c>
      <c r="C935" s="87">
        <f>IF(Database!B935="","",Database!A935)</f>
        <v/>
      </c>
      <c r="D935" s="30">
        <f>IF(Database!B935="","",Database!D935)</f>
        <v/>
      </c>
      <c r="E935" s="30">
        <f>IF(Database!B935="","",Database!E935)</f>
        <v/>
      </c>
      <c r="F935" s="30">
        <f>IF(Database!B935="","",Database!F935)</f>
        <v/>
      </c>
      <c r="G935" s="30">
        <f>IF(Database!B935="","",Database!G935)</f>
        <v/>
      </c>
      <c r="H935" s="30">
        <f>IF(Database!B935="","",Database!C935)</f>
        <v/>
      </c>
      <c r="I935" s="30">
        <f>IF(Database!B935="","",Database!H935)</f>
        <v/>
      </c>
      <c r="J935" s="31" t="n"/>
      <c r="K935" s="88" t="n"/>
      <c r="L935" s="31" t="n"/>
      <c r="M935" s="31" t="n"/>
      <c r="N935" s="31" t="n"/>
      <c r="O935" s="32" t="n"/>
    </row>
    <row r="936">
      <c r="A936" s="30">
        <f>IF(Database!B936="","",ROW()-1)</f>
        <v/>
      </c>
      <c r="B936" s="30">
        <f>IF(Database!B936="","",Database!B936)</f>
        <v/>
      </c>
      <c r="C936" s="87">
        <f>IF(Database!B936="","",Database!A936)</f>
        <v/>
      </c>
      <c r="D936" s="30">
        <f>IF(Database!B936="","",Database!D936)</f>
        <v/>
      </c>
      <c r="E936" s="30">
        <f>IF(Database!B936="","",Database!E936)</f>
        <v/>
      </c>
      <c r="F936" s="30">
        <f>IF(Database!B936="","",Database!F936)</f>
        <v/>
      </c>
      <c r="G936" s="30">
        <f>IF(Database!B936="","",Database!G936)</f>
        <v/>
      </c>
      <c r="H936" s="30">
        <f>IF(Database!B936="","",Database!C936)</f>
        <v/>
      </c>
      <c r="I936" s="30">
        <f>IF(Database!B936="","",Database!H936)</f>
        <v/>
      </c>
      <c r="J936" s="31" t="n"/>
      <c r="K936" s="88" t="n"/>
      <c r="L936" s="31" t="n"/>
      <c r="M936" s="31" t="n"/>
      <c r="N936" s="31" t="n"/>
      <c r="O936" s="32" t="n"/>
    </row>
    <row r="937">
      <c r="A937" s="30">
        <f>IF(Database!B937="","",ROW()-1)</f>
        <v/>
      </c>
      <c r="B937" s="30">
        <f>IF(Database!B937="","",Database!B937)</f>
        <v/>
      </c>
      <c r="C937" s="87">
        <f>IF(Database!B937="","",Database!A937)</f>
        <v/>
      </c>
      <c r="D937" s="30">
        <f>IF(Database!B937="","",Database!D937)</f>
        <v/>
      </c>
      <c r="E937" s="30">
        <f>IF(Database!B937="","",Database!E937)</f>
        <v/>
      </c>
      <c r="F937" s="30">
        <f>IF(Database!B937="","",Database!F937)</f>
        <v/>
      </c>
      <c r="G937" s="30">
        <f>IF(Database!B937="","",Database!G937)</f>
        <v/>
      </c>
      <c r="H937" s="30">
        <f>IF(Database!B937="","",Database!C937)</f>
        <v/>
      </c>
      <c r="I937" s="30">
        <f>IF(Database!B937="","",Database!H937)</f>
        <v/>
      </c>
      <c r="J937" s="31" t="n"/>
      <c r="K937" s="88" t="n"/>
      <c r="L937" s="31" t="n"/>
      <c r="M937" s="31" t="n"/>
      <c r="N937" s="31" t="n"/>
      <c r="O937" s="32" t="n"/>
    </row>
    <row r="938">
      <c r="A938" s="30">
        <f>IF(Database!B938="","",ROW()-1)</f>
        <v/>
      </c>
      <c r="B938" s="30">
        <f>IF(Database!B938="","",Database!B938)</f>
        <v/>
      </c>
      <c r="C938" s="87">
        <f>IF(Database!B938="","",Database!A938)</f>
        <v/>
      </c>
      <c r="D938" s="30">
        <f>IF(Database!B938="","",Database!D938)</f>
        <v/>
      </c>
      <c r="E938" s="30">
        <f>IF(Database!B938="","",Database!E938)</f>
        <v/>
      </c>
      <c r="F938" s="30">
        <f>IF(Database!B938="","",Database!F938)</f>
        <v/>
      </c>
      <c r="G938" s="30">
        <f>IF(Database!B938="","",Database!G938)</f>
        <v/>
      </c>
      <c r="H938" s="30">
        <f>IF(Database!B938="","",Database!C938)</f>
        <v/>
      </c>
      <c r="I938" s="30">
        <f>IF(Database!B938="","",Database!H938)</f>
        <v/>
      </c>
      <c r="J938" s="31" t="n"/>
      <c r="K938" s="88" t="n"/>
      <c r="L938" s="31" t="n"/>
      <c r="M938" s="31" t="n"/>
      <c r="N938" s="31" t="n"/>
      <c r="O938" s="32" t="n"/>
    </row>
    <row r="939">
      <c r="A939" s="30">
        <f>IF(Database!B939="","",ROW()-1)</f>
        <v/>
      </c>
      <c r="B939" s="30">
        <f>IF(Database!B939="","",Database!B939)</f>
        <v/>
      </c>
      <c r="C939" s="87">
        <f>IF(Database!B939="","",Database!A939)</f>
        <v/>
      </c>
      <c r="D939" s="30">
        <f>IF(Database!B939="","",Database!D939)</f>
        <v/>
      </c>
      <c r="E939" s="30">
        <f>IF(Database!B939="","",Database!E939)</f>
        <v/>
      </c>
      <c r="F939" s="30">
        <f>IF(Database!B939="","",Database!F939)</f>
        <v/>
      </c>
      <c r="G939" s="30">
        <f>IF(Database!B939="","",Database!G939)</f>
        <v/>
      </c>
      <c r="H939" s="30">
        <f>IF(Database!B939="","",Database!C939)</f>
        <v/>
      </c>
      <c r="I939" s="30">
        <f>IF(Database!B939="","",Database!H939)</f>
        <v/>
      </c>
      <c r="J939" s="31" t="n"/>
      <c r="K939" s="88" t="n"/>
      <c r="L939" s="31" t="n"/>
      <c r="M939" s="31" t="n"/>
      <c r="N939" s="31" t="n"/>
      <c r="O939" s="32" t="n"/>
    </row>
    <row r="940">
      <c r="A940" s="30">
        <f>IF(Database!B940="","",ROW()-1)</f>
        <v/>
      </c>
      <c r="B940" s="30">
        <f>IF(Database!B940="","",Database!B940)</f>
        <v/>
      </c>
      <c r="C940" s="87">
        <f>IF(Database!B940="","",Database!A940)</f>
        <v/>
      </c>
      <c r="D940" s="30">
        <f>IF(Database!B940="","",Database!D940)</f>
        <v/>
      </c>
      <c r="E940" s="30">
        <f>IF(Database!B940="","",Database!E940)</f>
        <v/>
      </c>
      <c r="F940" s="30">
        <f>IF(Database!B940="","",Database!F940)</f>
        <v/>
      </c>
      <c r="G940" s="30">
        <f>IF(Database!B940="","",Database!G940)</f>
        <v/>
      </c>
      <c r="H940" s="30">
        <f>IF(Database!B940="","",Database!C940)</f>
        <v/>
      </c>
      <c r="I940" s="30">
        <f>IF(Database!B940="","",Database!H940)</f>
        <v/>
      </c>
      <c r="J940" s="31" t="n"/>
      <c r="K940" s="88" t="n"/>
      <c r="L940" s="31" t="n"/>
      <c r="M940" s="31" t="n"/>
      <c r="N940" s="31" t="n"/>
      <c r="O940" s="32" t="n"/>
    </row>
    <row r="941">
      <c r="A941" s="30">
        <f>IF(Database!B941="","",ROW()-1)</f>
        <v/>
      </c>
      <c r="B941" s="30">
        <f>IF(Database!B941="","",Database!B941)</f>
        <v/>
      </c>
      <c r="C941" s="87">
        <f>IF(Database!B941="","",Database!A941)</f>
        <v/>
      </c>
      <c r="D941" s="30">
        <f>IF(Database!B941="","",Database!D941)</f>
        <v/>
      </c>
      <c r="E941" s="30">
        <f>IF(Database!B941="","",Database!E941)</f>
        <v/>
      </c>
      <c r="F941" s="30">
        <f>IF(Database!B941="","",Database!F941)</f>
        <v/>
      </c>
      <c r="G941" s="30">
        <f>IF(Database!B941="","",Database!G941)</f>
        <v/>
      </c>
      <c r="H941" s="30">
        <f>IF(Database!B941="","",Database!C941)</f>
        <v/>
      </c>
      <c r="I941" s="30">
        <f>IF(Database!B941="","",Database!H941)</f>
        <v/>
      </c>
      <c r="J941" s="31" t="n"/>
      <c r="K941" s="88" t="n"/>
      <c r="L941" s="31" t="n"/>
      <c r="M941" s="31" t="n"/>
      <c r="N941" s="31" t="n"/>
      <c r="O941" s="32" t="n"/>
    </row>
    <row r="942">
      <c r="A942" s="30">
        <f>IF(Database!B942="","",ROW()-1)</f>
        <v/>
      </c>
      <c r="B942" s="30">
        <f>IF(Database!B942="","",Database!B942)</f>
        <v/>
      </c>
      <c r="C942" s="87">
        <f>IF(Database!B942="","",Database!A942)</f>
        <v/>
      </c>
      <c r="D942" s="30">
        <f>IF(Database!B942="","",Database!D942)</f>
        <v/>
      </c>
      <c r="E942" s="30">
        <f>IF(Database!B942="","",Database!E942)</f>
        <v/>
      </c>
      <c r="F942" s="30">
        <f>IF(Database!B942="","",Database!F942)</f>
        <v/>
      </c>
      <c r="G942" s="30">
        <f>IF(Database!B942="","",Database!G942)</f>
        <v/>
      </c>
      <c r="H942" s="30">
        <f>IF(Database!B942="","",Database!C942)</f>
        <v/>
      </c>
      <c r="I942" s="30">
        <f>IF(Database!B942="","",Database!H942)</f>
        <v/>
      </c>
      <c r="J942" s="31" t="n"/>
      <c r="K942" s="88" t="n"/>
      <c r="L942" s="31" t="n"/>
      <c r="M942" s="31" t="n"/>
      <c r="N942" s="31" t="n"/>
      <c r="O942" s="32" t="n"/>
    </row>
    <row r="943">
      <c r="A943" s="30">
        <f>IF(Database!B943="","",ROW()-1)</f>
        <v/>
      </c>
      <c r="B943" s="30">
        <f>IF(Database!B943="","",Database!B943)</f>
        <v/>
      </c>
      <c r="C943" s="87">
        <f>IF(Database!B943="","",Database!A943)</f>
        <v/>
      </c>
      <c r="D943" s="30">
        <f>IF(Database!B943="","",Database!D943)</f>
        <v/>
      </c>
      <c r="E943" s="30">
        <f>IF(Database!B943="","",Database!E943)</f>
        <v/>
      </c>
      <c r="F943" s="30">
        <f>IF(Database!B943="","",Database!F943)</f>
        <v/>
      </c>
      <c r="G943" s="30">
        <f>IF(Database!B943="","",Database!G943)</f>
        <v/>
      </c>
      <c r="H943" s="30">
        <f>IF(Database!B943="","",Database!C943)</f>
        <v/>
      </c>
      <c r="I943" s="30">
        <f>IF(Database!B943="","",Database!H943)</f>
        <v/>
      </c>
      <c r="J943" s="31" t="n"/>
      <c r="K943" s="88" t="n"/>
      <c r="L943" s="31" t="n"/>
      <c r="M943" s="31" t="n"/>
      <c r="N943" s="31" t="n"/>
      <c r="O943" s="32" t="n"/>
    </row>
    <row r="944">
      <c r="A944" s="30">
        <f>IF(Database!B944="","",ROW()-1)</f>
        <v/>
      </c>
      <c r="B944" s="30">
        <f>IF(Database!B944="","",Database!B944)</f>
        <v/>
      </c>
      <c r="C944" s="87">
        <f>IF(Database!B944="","",Database!A944)</f>
        <v/>
      </c>
      <c r="D944" s="30">
        <f>IF(Database!B944="","",Database!D944)</f>
        <v/>
      </c>
      <c r="E944" s="30">
        <f>IF(Database!B944="","",Database!E944)</f>
        <v/>
      </c>
      <c r="F944" s="30">
        <f>IF(Database!B944="","",Database!F944)</f>
        <v/>
      </c>
      <c r="G944" s="30">
        <f>IF(Database!B944="","",Database!G944)</f>
        <v/>
      </c>
      <c r="H944" s="30">
        <f>IF(Database!B944="","",Database!C944)</f>
        <v/>
      </c>
      <c r="I944" s="30">
        <f>IF(Database!B944="","",Database!H944)</f>
        <v/>
      </c>
      <c r="J944" s="31" t="n"/>
      <c r="K944" s="88" t="n"/>
      <c r="L944" s="31" t="n"/>
      <c r="M944" s="31" t="n"/>
      <c r="N944" s="31" t="n"/>
      <c r="O944" s="32" t="n"/>
    </row>
    <row r="945">
      <c r="A945" s="30">
        <f>IF(Database!B945="","",ROW()-1)</f>
        <v/>
      </c>
      <c r="B945" s="30">
        <f>IF(Database!B945="","",Database!B945)</f>
        <v/>
      </c>
      <c r="C945" s="87">
        <f>IF(Database!B945="","",Database!A945)</f>
        <v/>
      </c>
      <c r="D945" s="30">
        <f>IF(Database!B945="","",Database!D945)</f>
        <v/>
      </c>
      <c r="E945" s="30">
        <f>IF(Database!B945="","",Database!E945)</f>
        <v/>
      </c>
      <c r="F945" s="30">
        <f>IF(Database!B945="","",Database!F945)</f>
        <v/>
      </c>
      <c r="G945" s="30">
        <f>IF(Database!B945="","",Database!G945)</f>
        <v/>
      </c>
      <c r="H945" s="30">
        <f>IF(Database!B945="","",Database!C945)</f>
        <v/>
      </c>
      <c r="I945" s="30">
        <f>IF(Database!B945="","",Database!H945)</f>
        <v/>
      </c>
      <c r="J945" s="31" t="n"/>
      <c r="K945" s="88" t="n"/>
      <c r="L945" s="31" t="n"/>
      <c r="M945" s="31" t="n"/>
      <c r="N945" s="31" t="n"/>
      <c r="O945" s="32" t="n"/>
    </row>
    <row r="946">
      <c r="A946" s="30">
        <f>IF(Database!B946="","",ROW()-1)</f>
        <v/>
      </c>
      <c r="B946" s="30">
        <f>IF(Database!B946="","",Database!B946)</f>
        <v/>
      </c>
      <c r="C946" s="87">
        <f>IF(Database!B946="","",Database!A946)</f>
        <v/>
      </c>
      <c r="D946" s="30">
        <f>IF(Database!B946="","",Database!D946)</f>
        <v/>
      </c>
      <c r="E946" s="30">
        <f>IF(Database!B946="","",Database!E946)</f>
        <v/>
      </c>
      <c r="F946" s="30">
        <f>IF(Database!B946="","",Database!F946)</f>
        <v/>
      </c>
      <c r="G946" s="30">
        <f>IF(Database!B946="","",Database!G946)</f>
        <v/>
      </c>
      <c r="H946" s="30">
        <f>IF(Database!B946="","",Database!C946)</f>
        <v/>
      </c>
      <c r="I946" s="30">
        <f>IF(Database!B946="","",Database!H946)</f>
        <v/>
      </c>
      <c r="J946" s="31" t="n"/>
      <c r="K946" s="88" t="n"/>
      <c r="L946" s="31" t="n"/>
      <c r="M946" s="31" t="n"/>
      <c r="N946" s="31" t="n"/>
      <c r="O946" s="32" t="n"/>
    </row>
    <row r="947">
      <c r="A947" s="30">
        <f>IF(Database!B947="","",ROW()-1)</f>
        <v/>
      </c>
      <c r="B947" s="30">
        <f>IF(Database!B947="","",Database!B947)</f>
        <v/>
      </c>
      <c r="C947" s="87">
        <f>IF(Database!B947="","",Database!A947)</f>
        <v/>
      </c>
      <c r="D947" s="30">
        <f>IF(Database!B947="","",Database!D947)</f>
        <v/>
      </c>
      <c r="E947" s="30">
        <f>IF(Database!B947="","",Database!E947)</f>
        <v/>
      </c>
      <c r="F947" s="30">
        <f>IF(Database!B947="","",Database!F947)</f>
        <v/>
      </c>
      <c r="G947" s="30">
        <f>IF(Database!B947="","",Database!G947)</f>
        <v/>
      </c>
      <c r="H947" s="30">
        <f>IF(Database!B947="","",Database!C947)</f>
        <v/>
      </c>
      <c r="I947" s="30">
        <f>IF(Database!B947="","",Database!H947)</f>
        <v/>
      </c>
      <c r="J947" s="31" t="n"/>
      <c r="K947" s="88" t="n"/>
      <c r="L947" s="31" t="n"/>
      <c r="M947" s="31" t="n"/>
      <c r="N947" s="31" t="n"/>
      <c r="O947" s="32" t="n"/>
    </row>
    <row r="948">
      <c r="A948" s="30">
        <f>IF(Database!B948="","",ROW()-1)</f>
        <v/>
      </c>
      <c r="B948" s="30">
        <f>IF(Database!B948="","",Database!B948)</f>
        <v/>
      </c>
      <c r="C948" s="87">
        <f>IF(Database!B948="","",Database!A948)</f>
        <v/>
      </c>
      <c r="D948" s="30">
        <f>IF(Database!B948="","",Database!D948)</f>
        <v/>
      </c>
      <c r="E948" s="30">
        <f>IF(Database!B948="","",Database!E948)</f>
        <v/>
      </c>
      <c r="F948" s="30">
        <f>IF(Database!B948="","",Database!F948)</f>
        <v/>
      </c>
      <c r="G948" s="30">
        <f>IF(Database!B948="","",Database!G948)</f>
        <v/>
      </c>
      <c r="H948" s="30">
        <f>IF(Database!B948="","",Database!C948)</f>
        <v/>
      </c>
      <c r="I948" s="30">
        <f>IF(Database!B948="","",Database!H948)</f>
        <v/>
      </c>
      <c r="J948" s="31" t="n"/>
      <c r="K948" s="88" t="n"/>
      <c r="L948" s="31" t="n"/>
      <c r="M948" s="31" t="n"/>
      <c r="N948" s="31" t="n"/>
      <c r="O948" s="32" t="n"/>
    </row>
    <row r="949">
      <c r="A949" s="30">
        <f>IF(Database!B949="","",ROW()-1)</f>
        <v/>
      </c>
      <c r="B949" s="30">
        <f>IF(Database!B949="","",Database!B949)</f>
        <v/>
      </c>
      <c r="C949" s="87">
        <f>IF(Database!B949="","",Database!A949)</f>
        <v/>
      </c>
      <c r="D949" s="30">
        <f>IF(Database!B949="","",Database!D949)</f>
        <v/>
      </c>
      <c r="E949" s="30">
        <f>IF(Database!B949="","",Database!E949)</f>
        <v/>
      </c>
      <c r="F949" s="30">
        <f>IF(Database!B949="","",Database!F949)</f>
        <v/>
      </c>
      <c r="G949" s="30">
        <f>IF(Database!B949="","",Database!G949)</f>
        <v/>
      </c>
      <c r="H949" s="30">
        <f>IF(Database!B949="","",Database!C949)</f>
        <v/>
      </c>
      <c r="I949" s="30">
        <f>IF(Database!B949="","",Database!H949)</f>
        <v/>
      </c>
      <c r="J949" s="31" t="n"/>
      <c r="K949" s="88" t="n"/>
      <c r="L949" s="31" t="n"/>
      <c r="M949" s="31" t="n"/>
      <c r="N949" s="31" t="n"/>
      <c r="O949" s="32" t="n"/>
    </row>
    <row r="950">
      <c r="A950" s="30">
        <f>IF(Database!B950="","",ROW()-1)</f>
        <v/>
      </c>
      <c r="B950" s="30">
        <f>IF(Database!B950="","",Database!B950)</f>
        <v/>
      </c>
      <c r="C950" s="87">
        <f>IF(Database!B950="","",Database!A950)</f>
        <v/>
      </c>
      <c r="D950" s="30">
        <f>IF(Database!B950="","",Database!D950)</f>
        <v/>
      </c>
      <c r="E950" s="30">
        <f>IF(Database!B950="","",Database!E950)</f>
        <v/>
      </c>
      <c r="F950" s="30">
        <f>IF(Database!B950="","",Database!F950)</f>
        <v/>
      </c>
      <c r="G950" s="30">
        <f>IF(Database!B950="","",Database!G950)</f>
        <v/>
      </c>
      <c r="H950" s="30">
        <f>IF(Database!B950="","",Database!C950)</f>
        <v/>
      </c>
      <c r="I950" s="30">
        <f>IF(Database!B950="","",Database!H950)</f>
        <v/>
      </c>
      <c r="J950" s="31" t="n"/>
      <c r="K950" s="88" t="n"/>
      <c r="L950" s="31" t="n"/>
      <c r="M950" s="31" t="n"/>
      <c r="N950" s="31" t="n"/>
      <c r="O950" s="32" t="n"/>
    </row>
    <row r="951">
      <c r="A951" s="30">
        <f>IF(Database!B951="","",ROW()-1)</f>
        <v/>
      </c>
      <c r="B951" s="30">
        <f>IF(Database!B951="","",Database!B951)</f>
        <v/>
      </c>
      <c r="C951" s="87">
        <f>IF(Database!B951="","",Database!A951)</f>
        <v/>
      </c>
      <c r="D951" s="30">
        <f>IF(Database!B951="","",Database!D951)</f>
        <v/>
      </c>
      <c r="E951" s="30">
        <f>IF(Database!B951="","",Database!E951)</f>
        <v/>
      </c>
      <c r="F951" s="30">
        <f>IF(Database!B951="","",Database!F951)</f>
        <v/>
      </c>
      <c r="G951" s="30">
        <f>IF(Database!B951="","",Database!G951)</f>
        <v/>
      </c>
      <c r="H951" s="30">
        <f>IF(Database!B951="","",Database!C951)</f>
        <v/>
      </c>
      <c r="I951" s="30">
        <f>IF(Database!B951="","",Database!H951)</f>
        <v/>
      </c>
      <c r="J951" s="31" t="n"/>
      <c r="K951" s="88" t="n"/>
      <c r="L951" s="31" t="n"/>
      <c r="M951" s="31" t="n"/>
      <c r="N951" s="31" t="n"/>
      <c r="O951" s="32" t="n"/>
    </row>
    <row r="952">
      <c r="A952" s="30">
        <f>IF(Database!B952="","",ROW()-1)</f>
        <v/>
      </c>
      <c r="B952" s="30">
        <f>IF(Database!B952="","",Database!B952)</f>
        <v/>
      </c>
      <c r="C952" s="87">
        <f>IF(Database!B952="","",Database!A952)</f>
        <v/>
      </c>
      <c r="D952" s="30">
        <f>IF(Database!B952="","",Database!D952)</f>
        <v/>
      </c>
      <c r="E952" s="30">
        <f>IF(Database!B952="","",Database!E952)</f>
        <v/>
      </c>
      <c r="F952" s="30">
        <f>IF(Database!B952="","",Database!F952)</f>
        <v/>
      </c>
      <c r="G952" s="30">
        <f>IF(Database!B952="","",Database!G952)</f>
        <v/>
      </c>
      <c r="H952" s="30">
        <f>IF(Database!B952="","",Database!C952)</f>
        <v/>
      </c>
      <c r="I952" s="30">
        <f>IF(Database!B952="","",Database!H952)</f>
        <v/>
      </c>
      <c r="J952" s="31" t="n"/>
      <c r="K952" s="88" t="n"/>
      <c r="L952" s="31" t="n"/>
      <c r="M952" s="31" t="n"/>
      <c r="N952" s="31" t="n"/>
      <c r="O952" s="32" t="n"/>
    </row>
    <row r="953">
      <c r="A953" s="30">
        <f>IF(Database!B953="","",ROW()-1)</f>
        <v/>
      </c>
      <c r="B953" s="30">
        <f>IF(Database!B953="","",Database!B953)</f>
        <v/>
      </c>
      <c r="C953" s="87">
        <f>IF(Database!B953="","",Database!A953)</f>
        <v/>
      </c>
      <c r="D953" s="30">
        <f>IF(Database!B953="","",Database!D953)</f>
        <v/>
      </c>
      <c r="E953" s="30">
        <f>IF(Database!B953="","",Database!E953)</f>
        <v/>
      </c>
      <c r="F953" s="30">
        <f>IF(Database!B953="","",Database!F953)</f>
        <v/>
      </c>
      <c r="G953" s="30">
        <f>IF(Database!B953="","",Database!G953)</f>
        <v/>
      </c>
      <c r="H953" s="30">
        <f>IF(Database!B953="","",Database!C953)</f>
        <v/>
      </c>
      <c r="I953" s="30">
        <f>IF(Database!B953="","",Database!H953)</f>
        <v/>
      </c>
      <c r="J953" s="31" t="n"/>
      <c r="K953" s="88" t="n"/>
      <c r="L953" s="31" t="n"/>
      <c r="M953" s="31" t="n"/>
      <c r="N953" s="31" t="n"/>
      <c r="O953" s="32" t="n"/>
    </row>
    <row r="954">
      <c r="A954" s="30">
        <f>IF(Database!B954="","",ROW()-1)</f>
        <v/>
      </c>
      <c r="B954" s="30">
        <f>IF(Database!B954="","",Database!B954)</f>
        <v/>
      </c>
      <c r="C954" s="87">
        <f>IF(Database!B954="","",Database!A954)</f>
        <v/>
      </c>
      <c r="D954" s="30">
        <f>IF(Database!B954="","",Database!D954)</f>
        <v/>
      </c>
      <c r="E954" s="30">
        <f>IF(Database!B954="","",Database!E954)</f>
        <v/>
      </c>
      <c r="F954" s="30">
        <f>IF(Database!B954="","",Database!F954)</f>
        <v/>
      </c>
      <c r="G954" s="30">
        <f>IF(Database!B954="","",Database!G954)</f>
        <v/>
      </c>
      <c r="H954" s="30">
        <f>IF(Database!B954="","",Database!C954)</f>
        <v/>
      </c>
      <c r="I954" s="30">
        <f>IF(Database!B954="","",Database!H954)</f>
        <v/>
      </c>
      <c r="J954" s="31" t="n"/>
      <c r="K954" s="88" t="n"/>
      <c r="L954" s="31" t="n"/>
      <c r="M954" s="31" t="n"/>
      <c r="N954" s="31" t="n"/>
      <c r="O954" s="32" t="n"/>
    </row>
    <row r="955">
      <c r="A955" s="30">
        <f>IF(Database!B955="","",ROW()-1)</f>
        <v/>
      </c>
      <c r="B955" s="30">
        <f>IF(Database!B955="","",Database!B955)</f>
        <v/>
      </c>
      <c r="C955" s="87">
        <f>IF(Database!B955="","",Database!A955)</f>
        <v/>
      </c>
      <c r="D955" s="30">
        <f>IF(Database!B955="","",Database!D955)</f>
        <v/>
      </c>
      <c r="E955" s="30">
        <f>IF(Database!B955="","",Database!E955)</f>
        <v/>
      </c>
      <c r="F955" s="30">
        <f>IF(Database!B955="","",Database!F955)</f>
        <v/>
      </c>
      <c r="G955" s="30">
        <f>IF(Database!B955="","",Database!G955)</f>
        <v/>
      </c>
      <c r="H955" s="30">
        <f>IF(Database!B955="","",Database!C955)</f>
        <v/>
      </c>
      <c r="I955" s="30">
        <f>IF(Database!B955="","",Database!H955)</f>
        <v/>
      </c>
      <c r="J955" s="31" t="n"/>
      <c r="K955" s="88" t="n"/>
      <c r="L955" s="31" t="n"/>
      <c r="M955" s="31" t="n"/>
      <c r="N955" s="31" t="n"/>
      <c r="O955" s="32" t="n"/>
    </row>
    <row r="956">
      <c r="A956" s="30">
        <f>IF(Database!B956="","",ROW()-1)</f>
        <v/>
      </c>
      <c r="B956" s="30">
        <f>IF(Database!B956="","",Database!B956)</f>
        <v/>
      </c>
      <c r="C956" s="87">
        <f>IF(Database!B956="","",Database!A956)</f>
        <v/>
      </c>
      <c r="D956" s="30">
        <f>IF(Database!B956="","",Database!D956)</f>
        <v/>
      </c>
      <c r="E956" s="30">
        <f>IF(Database!B956="","",Database!E956)</f>
        <v/>
      </c>
      <c r="F956" s="30">
        <f>IF(Database!B956="","",Database!F956)</f>
        <v/>
      </c>
      <c r="G956" s="30">
        <f>IF(Database!B956="","",Database!G956)</f>
        <v/>
      </c>
      <c r="H956" s="30">
        <f>IF(Database!B956="","",Database!C956)</f>
        <v/>
      </c>
      <c r="I956" s="30">
        <f>IF(Database!B956="","",Database!H956)</f>
        <v/>
      </c>
      <c r="J956" s="31" t="n"/>
      <c r="K956" s="88" t="n"/>
      <c r="L956" s="31" t="n"/>
      <c r="M956" s="31" t="n"/>
      <c r="N956" s="31" t="n"/>
      <c r="O956" s="32" t="n"/>
    </row>
    <row r="957">
      <c r="A957" s="30">
        <f>IF(Database!B957="","",ROW()-1)</f>
        <v/>
      </c>
      <c r="B957" s="30">
        <f>IF(Database!B957="","",Database!B957)</f>
        <v/>
      </c>
      <c r="C957" s="87">
        <f>IF(Database!B957="","",Database!A957)</f>
        <v/>
      </c>
      <c r="D957" s="30">
        <f>IF(Database!B957="","",Database!D957)</f>
        <v/>
      </c>
      <c r="E957" s="30">
        <f>IF(Database!B957="","",Database!E957)</f>
        <v/>
      </c>
      <c r="F957" s="30">
        <f>IF(Database!B957="","",Database!F957)</f>
        <v/>
      </c>
      <c r="G957" s="30">
        <f>IF(Database!B957="","",Database!G957)</f>
        <v/>
      </c>
      <c r="H957" s="30">
        <f>IF(Database!B957="","",Database!C957)</f>
        <v/>
      </c>
      <c r="I957" s="30">
        <f>IF(Database!B957="","",Database!H957)</f>
        <v/>
      </c>
      <c r="J957" s="31" t="n"/>
      <c r="K957" s="88" t="n"/>
      <c r="L957" s="31" t="n"/>
      <c r="M957" s="31" t="n"/>
      <c r="N957" s="31" t="n"/>
      <c r="O957" s="32" t="n"/>
    </row>
    <row r="958">
      <c r="A958" s="30">
        <f>IF(Database!B958="","",ROW()-1)</f>
        <v/>
      </c>
      <c r="B958" s="30">
        <f>IF(Database!B958="","",Database!B958)</f>
        <v/>
      </c>
      <c r="C958" s="87">
        <f>IF(Database!B958="","",Database!A958)</f>
        <v/>
      </c>
      <c r="D958" s="30">
        <f>IF(Database!B958="","",Database!D958)</f>
        <v/>
      </c>
      <c r="E958" s="30">
        <f>IF(Database!B958="","",Database!E958)</f>
        <v/>
      </c>
      <c r="F958" s="30">
        <f>IF(Database!B958="","",Database!F958)</f>
        <v/>
      </c>
      <c r="G958" s="30">
        <f>IF(Database!B958="","",Database!G958)</f>
        <v/>
      </c>
      <c r="H958" s="30">
        <f>IF(Database!B958="","",Database!C958)</f>
        <v/>
      </c>
      <c r="I958" s="30">
        <f>IF(Database!B958="","",Database!H958)</f>
        <v/>
      </c>
      <c r="J958" s="31" t="n"/>
      <c r="K958" s="88" t="n"/>
      <c r="L958" s="31" t="n"/>
      <c r="M958" s="31" t="n"/>
      <c r="N958" s="31" t="n"/>
      <c r="O958" s="32" t="n"/>
    </row>
    <row r="959">
      <c r="A959" s="30">
        <f>IF(Database!B959="","",ROW()-1)</f>
        <v/>
      </c>
      <c r="B959" s="30">
        <f>IF(Database!B959="","",Database!B959)</f>
        <v/>
      </c>
      <c r="C959" s="87">
        <f>IF(Database!B959="","",Database!A959)</f>
        <v/>
      </c>
      <c r="D959" s="30">
        <f>IF(Database!B959="","",Database!D959)</f>
        <v/>
      </c>
      <c r="E959" s="30">
        <f>IF(Database!B959="","",Database!E959)</f>
        <v/>
      </c>
      <c r="F959" s="30">
        <f>IF(Database!B959="","",Database!F959)</f>
        <v/>
      </c>
      <c r="G959" s="30">
        <f>IF(Database!B959="","",Database!G959)</f>
        <v/>
      </c>
      <c r="H959" s="30">
        <f>IF(Database!B959="","",Database!C959)</f>
        <v/>
      </c>
      <c r="I959" s="30">
        <f>IF(Database!B959="","",Database!H959)</f>
        <v/>
      </c>
      <c r="J959" s="31" t="n"/>
      <c r="K959" s="88" t="n"/>
      <c r="L959" s="31" t="n"/>
      <c r="M959" s="31" t="n"/>
      <c r="N959" s="31" t="n"/>
      <c r="O959" s="32" t="n"/>
    </row>
    <row r="960">
      <c r="A960" s="30">
        <f>IF(Database!B960="","",ROW()-1)</f>
        <v/>
      </c>
      <c r="B960" s="30">
        <f>IF(Database!B960="","",Database!B960)</f>
        <v/>
      </c>
      <c r="C960" s="87">
        <f>IF(Database!B960="","",Database!A960)</f>
        <v/>
      </c>
      <c r="D960" s="30">
        <f>IF(Database!B960="","",Database!D960)</f>
        <v/>
      </c>
      <c r="E960" s="30">
        <f>IF(Database!B960="","",Database!E960)</f>
        <v/>
      </c>
      <c r="F960" s="30">
        <f>IF(Database!B960="","",Database!F960)</f>
        <v/>
      </c>
      <c r="G960" s="30">
        <f>IF(Database!B960="","",Database!G960)</f>
        <v/>
      </c>
      <c r="H960" s="30">
        <f>IF(Database!B960="","",Database!C960)</f>
        <v/>
      </c>
      <c r="I960" s="30">
        <f>IF(Database!B960="","",Database!H960)</f>
        <v/>
      </c>
      <c r="J960" s="31" t="n"/>
      <c r="K960" s="88" t="n"/>
      <c r="L960" s="31" t="n"/>
      <c r="M960" s="31" t="n"/>
      <c r="N960" s="31" t="n"/>
      <c r="O960" s="32" t="n"/>
    </row>
    <row r="961">
      <c r="A961" s="30">
        <f>IF(Database!B961="","",ROW()-1)</f>
        <v/>
      </c>
      <c r="B961" s="30">
        <f>IF(Database!B961="","",Database!B961)</f>
        <v/>
      </c>
      <c r="C961" s="87">
        <f>IF(Database!B961="","",Database!A961)</f>
        <v/>
      </c>
      <c r="D961" s="30">
        <f>IF(Database!B961="","",Database!D961)</f>
        <v/>
      </c>
      <c r="E961" s="30">
        <f>IF(Database!B961="","",Database!E961)</f>
        <v/>
      </c>
      <c r="F961" s="30">
        <f>IF(Database!B961="","",Database!F961)</f>
        <v/>
      </c>
      <c r="G961" s="30">
        <f>IF(Database!B961="","",Database!G961)</f>
        <v/>
      </c>
      <c r="H961" s="30">
        <f>IF(Database!B961="","",Database!C961)</f>
        <v/>
      </c>
      <c r="I961" s="30">
        <f>IF(Database!B961="","",Database!H961)</f>
        <v/>
      </c>
      <c r="J961" s="31" t="n"/>
      <c r="K961" s="88" t="n"/>
      <c r="L961" s="31" t="n"/>
      <c r="M961" s="31" t="n"/>
      <c r="N961" s="31" t="n"/>
      <c r="O961" s="32" t="n"/>
    </row>
    <row r="962">
      <c r="A962" s="30">
        <f>IF(Database!B962="","",ROW()-1)</f>
        <v/>
      </c>
      <c r="B962" s="30">
        <f>IF(Database!B962="","",Database!B962)</f>
        <v/>
      </c>
      <c r="C962" s="87">
        <f>IF(Database!B962="","",Database!A962)</f>
        <v/>
      </c>
      <c r="D962" s="30">
        <f>IF(Database!B962="","",Database!D962)</f>
        <v/>
      </c>
      <c r="E962" s="30">
        <f>IF(Database!B962="","",Database!E962)</f>
        <v/>
      </c>
      <c r="F962" s="30">
        <f>IF(Database!B962="","",Database!F962)</f>
        <v/>
      </c>
      <c r="G962" s="30">
        <f>IF(Database!B962="","",Database!G962)</f>
        <v/>
      </c>
      <c r="H962" s="30">
        <f>IF(Database!B962="","",Database!C962)</f>
        <v/>
      </c>
      <c r="I962" s="30">
        <f>IF(Database!B962="","",Database!H962)</f>
        <v/>
      </c>
      <c r="J962" s="31" t="n"/>
      <c r="K962" s="88" t="n"/>
      <c r="L962" s="31" t="n"/>
      <c r="M962" s="31" t="n"/>
      <c r="N962" s="31" t="n"/>
      <c r="O962" s="32" t="n"/>
    </row>
    <row r="963">
      <c r="A963" s="30">
        <f>IF(Database!B963="","",ROW()-1)</f>
        <v/>
      </c>
      <c r="B963" s="30">
        <f>IF(Database!B963="","",Database!B963)</f>
        <v/>
      </c>
      <c r="C963" s="87">
        <f>IF(Database!B963="","",Database!A963)</f>
        <v/>
      </c>
      <c r="D963" s="30">
        <f>IF(Database!B963="","",Database!D963)</f>
        <v/>
      </c>
      <c r="E963" s="30">
        <f>IF(Database!B963="","",Database!E963)</f>
        <v/>
      </c>
      <c r="F963" s="30">
        <f>IF(Database!B963="","",Database!F963)</f>
        <v/>
      </c>
      <c r="G963" s="30">
        <f>IF(Database!B963="","",Database!G963)</f>
        <v/>
      </c>
      <c r="H963" s="30">
        <f>IF(Database!B963="","",Database!C963)</f>
        <v/>
      </c>
      <c r="I963" s="30">
        <f>IF(Database!B963="","",Database!H963)</f>
        <v/>
      </c>
      <c r="J963" s="31" t="n"/>
      <c r="K963" s="88" t="n"/>
      <c r="L963" s="31" t="n"/>
      <c r="M963" s="31" t="n"/>
      <c r="N963" s="31" t="n"/>
      <c r="O963" s="32" t="n"/>
    </row>
    <row r="964">
      <c r="A964" s="30">
        <f>IF(Database!B964="","",ROW()-1)</f>
        <v/>
      </c>
      <c r="B964" s="30">
        <f>IF(Database!B964="","",Database!B964)</f>
        <v/>
      </c>
      <c r="C964" s="87">
        <f>IF(Database!B964="","",Database!A964)</f>
        <v/>
      </c>
      <c r="D964" s="30">
        <f>IF(Database!B964="","",Database!D964)</f>
        <v/>
      </c>
      <c r="E964" s="30">
        <f>IF(Database!B964="","",Database!E964)</f>
        <v/>
      </c>
      <c r="F964" s="30">
        <f>IF(Database!B964="","",Database!F964)</f>
        <v/>
      </c>
      <c r="G964" s="30">
        <f>IF(Database!B964="","",Database!G964)</f>
        <v/>
      </c>
      <c r="H964" s="30">
        <f>IF(Database!B964="","",Database!C964)</f>
        <v/>
      </c>
      <c r="I964" s="30">
        <f>IF(Database!B964="","",Database!H964)</f>
        <v/>
      </c>
      <c r="J964" s="31" t="n"/>
      <c r="K964" s="88" t="n"/>
      <c r="L964" s="31" t="n"/>
      <c r="M964" s="31" t="n"/>
      <c r="N964" s="31" t="n"/>
      <c r="O964" s="32" t="n"/>
    </row>
    <row r="965">
      <c r="A965" s="30">
        <f>IF(Database!B965="","",ROW()-1)</f>
        <v/>
      </c>
      <c r="B965" s="30">
        <f>IF(Database!B965="","",Database!B965)</f>
        <v/>
      </c>
      <c r="C965" s="87">
        <f>IF(Database!B965="","",Database!A965)</f>
        <v/>
      </c>
      <c r="D965" s="30">
        <f>IF(Database!B965="","",Database!D965)</f>
        <v/>
      </c>
      <c r="E965" s="30">
        <f>IF(Database!B965="","",Database!E965)</f>
        <v/>
      </c>
      <c r="F965" s="30">
        <f>IF(Database!B965="","",Database!F965)</f>
        <v/>
      </c>
      <c r="G965" s="30">
        <f>IF(Database!B965="","",Database!G965)</f>
        <v/>
      </c>
      <c r="H965" s="30">
        <f>IF(Database!B965="","",Database!C965)</f>
        <v/>
      </c>
      <c r="I965" s="30">
        <f>IF(Database!B965="","",Database!H965)</f>
        <v/>
      </c>
      <c r="J965" s="31" t="n"/>
      <c r="K965" s="88" t="n"/>
      <c r="L965" s="31" t="n"/>
      <c r="M965" s="31" t="n"/>
      <c r="N965" s="31" t="n"/>
      <c r="O965" s="32" t="n"/>
    </row>
    <row r="966">
      <c r="A966" s="30">
        <f>IF(Database!B966="","",ROW()-1)</f>
        <v/>
      </c>
      <c r="B966" s="30">
        <f>IF(Database!B966="","",Database!B966)</f>
        <v/>
      </c>
      <c r="C966" s="87">
        <f>IF(Database!B966="","",Database!A966)</f>
        <v/>
      </c>
      <c r="D966" s="30">
        <f>IF(Database!B966="","",Database!D966)</f>
        <v/>
      </c>
      <c r="E966" s="30">
        <f>IF(Database!B966="","",Database!E966)</f>
        <v/>
      </c>
      <c r="F966" s="30">
        <f>IF(Database!B966="","",Database!F966)</f>
        <v/>
      </c>
      <c r="G966" s="30">
        <f>IF(Database!B966="","",Database!G966)</f>
        <v/>
      </c>
      <c r="H966" s="30">
        <f>IF(Database!B966="","",Database!C966)</f>
        <v/>
      </c>
      <c r="I966" s="30">
        <f>IF(Database!B966="","",Database!H966)</f>
        <v/>
      </c>
      <c r="J966" s="31" t="n"/>
      <c r="K966" s="88" t="n"/>
      <c r="L966" s="31" t="n"/>
      <c r="M966" s="31" t="n"/>
      <c r="N966" s="31" t="n"/>
      <c r="O966" s="32" t="n"/>
    </row>
    <row r="967">
      <c r="A967" s="30">
        <f>IF(Database!B967="","",ROW()-1)</f>
        <v/>
      </c>
      <c r="B967" s="30">
        <f>IF(Database!B967="","",Database!B967)</f>
        <v/>
      </c>
      <c r="C967" s="87">
        <f>IF(Database!B967="","",Database!A967)</f>
        <v/>
      </c>
      <c r="D967" s="30">
        <f>IF(Database!B967="","",Database!D967)</f>
        <v/>
      </c>
      <c r="E967" s="30">
        <f>IF(Database!B967="","",Database!E967)</f>
        <v/>
      </c>
      <c r="F967" s="30">
        <f>IF(Database!B967="","",Database!F967)</f>
        <v/>
      </c>
      <c r="G967" s="30">
        <f>IF(Database!B967="","",Database!G967)</f>
        <v/>
      </c>
      <c r="H967" s="30">
        <f>IF(Database!B967="","",Database!C967)</f>
        <v/>
      </c>
      <c r="I967" s="30">
        <f>IF(Database!B967="","",Database!H967)</f>
        <v/>
      </c>
      <c r="J967" s="31" t="n"/>
      <c r="K967" s="88" t="n"/>
      <c r="L967" s="31" t="n"/>
      <c r="M967" s="31" t="n"/>
      <c r="N967" s="31" t="n"/>
      <c r="O967" s="32" t="n"/>
    </row>
    <row r="968">
      <c r="A968" s="30">
        <f>IF(Database!B968="","",ROW()-1)</f>
        <v/>
      </c>
      <c r="B968" s="30">
        <f>IF(Database!B968="","",Database!B968)</f>
        <v/>
      </c>
      <c r="C968" s="87">
        <f>IF(Database!B968="","",Database!A968)</f>
        <v/>
      </c>
      <c r="D968" s="30">
        <f>IF(Database!B968="","",Database!D968)</f>
        <v/>
      </c>
      <c r="E968" s="30">
        <f>IF(Database!B968="","",Database!E968)</f>
        <v/>
      </c>
      <c r="F968" s="30">
        <f>IF(Database!B968="","",Database!F968)</f>
        <v/>
      </c>
      <c r="G968" s="30">
        <f>IF(Database!B968="","",Database!G968)</f>
        <v/>
      </c>
      <c r="H968" s="30">
        <f>IF(Database!B968="","",Database!C968)</f>
        <v/>
      </c>
      <c r="I968" s="30">
        <f>IF(Database!B968="","",Database!H968)</f>
        <v/>
      </c>
      <c r="J968" s="31" t="n"/>
      <c r="K968" s="88" t="n"/>
      <c r="L968" s="31" t="n"/>
      <c r="M968" s="31" t="n"/>
      <c r="N968" s="31" t="n"/>
      <c r="O968" s="32" t="n"/>
    </row>
    <row r="969">
      <c r="A969" s="30">
        <f>IF(Database!B969="","",ROW()-1)</f>
        <v/>
      </c>
      <c r="B969" s="30">
        <f>IF(Database!B969="","",Database!B969)</f>
        <v/>
      </c>
      <c r="C969" s="87">
        <f>IF(Database!B969="","",Database!A969)</f>
        <v/>
      </c>
      <c r="D969" s="30">
        <f>IF(Database!B969="","",Database!D969)</f>
        <v/>
      </c>
      <c r="E969" s="30">
        <f>IF(Database!B969="","",Database!E969)</f>
        <v/>
      </c>
      <c r="F969" s="30">
        <f>IF(Database!B969="","",Database!F969)</f>
        <v/>
      </c>
      <c r="G969" s="30">
        <f>IF(Database!B969="","",Database!G969)</f>
        <v/>
      </c>
      <c r="H969" s="30">
        <f>IF(Database!B969="","",Database!C969)</f>
        <v/>
      </c>
      <c r="I969" s="30">
        <f>IF(Database!B969="","",Database!H969)</f>
        <v/>
      </c>
      <c r="J969" s="31" t="n"/>
      <c r="K969" s="88" t="n"/>
      <c r="L969" s="31" t="n"/>
      <c r="M969" s="31" t="n"/>
      <c r="N969" s="31" t="n"/>
      <c r="O969" s="32" t="n"/>
    </row>
    <row r="970">
      <c r="A970" s="30">
        <f>IF(Database!B970="","",ROW()-1)</f>
        <v/>
      </c>
      <c r="B970" s="30">
        <f>IF(Database!B970="","",Database!B970)</f>
        <v/>
      </c>
      <c r="C970" s="87">
        <f>IF(Database!B970="","",Database!A970)</f>
        <v/>
      </c>
      <c r="D970" s="30">
        <f>IF(Database!B970="","",Database!D970)</f>
        <v/>
      </c>
      <c r="E970" s="30">
        <f>IF(Database!B970="","",Database!E970)</f>
        <v/>
      </c>
      <c r="F970" s="30">
        <f>IF(Database!B970="","",Database!F970)</f>
        <v/>
      </c>
      <c r="G970" s="30">
        <f>IF(Database!B970="","",Database!G970)</f>
        <v/>
      </c>
      <c r="H970" s="30">
        <f>IF(Database!B970="","",Database!C970)</f>
        <v/>
      </c>
      <c r="I970" s="30">
        <f>IF(Database!B970="","",Database!H970)</f>
        <v/>
      </c>
      <c r="J970" s="31" t="n"/>
      <c r="K970" s="88" t="n"/>
      <c r="L970" s="31" t="n"/>
      <c r="M970" s="31" t="n"/>
      <c r="N970" s="31" t="n"/>
      <c r="O970" s="32" t="n"/>
    </row>
    <row r="971">
      <c r="A971" s="30">
        <f>IF(Database!B971="","",ROW()-1)</f>
        <v/>
      </c>
      <c r="B971" s="30">
        <f>IF(Database!B971="","",Database!B971)</f>
        <v/>
      </c>
      <c r="C971" s="87">
        <f>IF(Database!B971="","",Database!A971)</f>
        <v/>
      </c>
      <c r="D971" s="30">
        <f>IF(Database!B971="","",Database!D971)</f>
        <v/>
      </c>
      <c r="E971" s="30">
        <f>IF(Database!B971="","",Database!E971)</f>
        <v/>
      </c>
      <c r="F971" s="30">
        <f>IF(Database!B971="","",Database!F971)</f>
        <v/>
      </c>
      <c r="G971" s="30">
        <f>IF(Database!B971="","",Database!G971)</f>
        <v/>
      </c>
      <c r="H971" s="30">
        <f>IF(Database!B971="","",Database!C971)</f>
        <v/>
      </c>
      <c r="I971" s="30">
        <f>IF(Database!B971="","",Database!H971)</f>
        <v/>
      </c>
      <c r="J971" s="31" t="n"/>
      <c r="K971" s="88" t="n"/>
      <c r="L971" s="31" t="n"/>
      <c r="M971" s="31" t="n"/>
      <c r="N971" s="31" t="n"/>
      <c r="O971" s="32" t="n"/>
    </row>
    <row r="972">
      <c r="A972" s="30">
        <f>IF(Database!B972="","",ROW()-1)</f>
        <v/>
      </c>
      <c r="B972" s="30">
        <f>IF(Database!B972="","",Database!B972)</f>
        <v/>
      </c>
      <c r="C972" s="87">
        <f>IF(Database!B972="","",Database!A972)</f>
        <v/>
      </c>
      <c r="D972" s="30">
        <f>IF(Database!B972="","",Database!D972)</f>
        <v/>
      </c>
      <c r="E972" s="30">
        <f>IF(Database!B972="","",Database!E972)</f>
        <v/>
      </c>
      <c r="F972" s="30">
        <f>IF(Database!B972="","",Database!F972)</f>
        <v/>
      </c>
      <c r="G972" s="30">
        <f>IF(Database!B972="","",Database!G972)</f>
        <v/>
      </c>
      <c r="H972" s="30">
        <f>IF(Database!B972="","",Database!C972)</f>
        <v/>
      </c>
      <c r="I972" s="30">
        <f>IF(Database!B972="","",Database!H972)</f>
        <v/>
      </c>
      <c r="J972" s="31" t="n"/>
      <c r="K972" s="88" t="n"/>
      <c r="L972" s="31" t="n"/>
      <c r="M972" s="31" t="n"/>
      <c r="N972" s="31" t="n"/>
      <c r="O972" s="32" t="n"/>
    </row>
    <row r="973">
      <c r="A973" s="30">
        <f>IF(Database!B973="","",ROW()-1)</f>
        <v/>
      </c>
      <c r="B973" s="30">
        <f>IF(Database!B973="","",Database!B973)</f>
        <v/>
      </c>
      <c r="C973" s="87">
        <f>IF(Database!B973="","",Database!A973)</f>
        <v/>
      </c>
      <c r="D973" s="30">
        <f>IF(Database!B973="","",Database!D973)</f>
        <v/>
      </c>
      <c r="E973" s="30">
        <f>IF(Database!B973="","",Database!E973)</f>
        <v/>
      </c>
      <c r="F973" s="30">
        <f>IF(Database!B973="","",Database!F973)</f>
        <v/>
      </c>
      <c r="G973" s="30">
        <f>IF(Database!B973="","",Database!G973)</f>
        <v/>
      </c>
      <c r="H973" s="30">
        <f>IF(Database!B973="","",Database!C973)</f>
        <v/>
      </c>
      <c r="I973" s="30">
        <f>IF(Database!B973="","",Database!H973)</f>
        <v/>
      </c>
      <c r="J973" s="31" t="n"/>
      <c r="K973" s="88" t="n"/>
      <c r="L973" s="31" t="n"/>
      <c r="M973" s="31" t="n"/>
      <c r="N973" s="31" t="n"/>
      <c r="O973" s="32" t="n"/>
    </row>
    <row r="974">
      <c r="A974" s="30">
        <f>IF(Database!B974="","",ROW()-1)</f>
        <v/>
      </c>
      <c r="B974" s="30">
        <f>IF(Database!B974="","",Database!B974)</f>
        <v/>
      </c>
      <c r="C974" s="87">
        <f>IF(Database!B974="","",Database!A974)</f>
        <v/>
      </c>
      <c r="D974" s="30">
        <f>IF(Database!B974="","",Database!D974)</f>
        <v/>
      </c>
      <c r="E974" s="30">
        <f>IF(Database!B974="","",Database!E974)</f>
        <v/>
      </c>
      <c r="F974" s="30">
        <f>IF(Database!B974="","",Database!F974)</f>
        <v/>
      </c>
      <c r="G974" s="30">
        <f>IF(Database!B974="","",Database!G974)</f>
        <v/>
      </c>
      <c r="H974" s="30">
        <f>IF(Database!B974="","",Database!C974)</f>
        <v/>
      </c>
      <c r="I974" s="30">
        <f>IF(Database!B974="","",Database!H974)</f>
        <v/>
      </c>
      <c r="J974" s="31" t="n"/>
      <c r="K974" s="88" t="n"/>
      <c r="L974" s="31" t="n"/>
      <c r="M974" s="31" t="n"/>
      <c r="N974" s="31" t="n"/>
      <c r="O974" s="32" t="n"/>
    </row>
    <row r="975">
      <c r="A975" s="30">
        <f>IF(Database!B975="","",ROW()-1)</f>
        <v/>
      </c>
      <c r="B975" s="30">
        <f>IF(Database!B975="","",Database!B975)</f>
        <v/>
      </c>
      <c r="C975" s="87">
        <f>IF(Database!B975="","",Database!A975)</f>
        <v/>
      </c>
      <c r="D975" s="30">
        <f>IF(Database!B975="","",Database!D975)</f>
        <v/>
      </c>
      <c r="E975" s="30">
        <f>IF(Database!B975="","",Database!E975)</f>
        <v/>
      </c>
      <c r="F975" s="30">
        <f>IF(Database!B975="","",Database!F975)</f>
        <v/>
      </c>
      <c r="G975" s="30">
        <f>IF(Database!B975="","",Database!G975)</f>
        <v/>
      </c>
      <c r="H975" s="30">
        <f>IF(Database!B975="","",Database!C975)</f>
        <v/>
      </c>
      <c r="I975" s="30">
        <f>IF(Database!B975="","",Database!H975)</f>
        <v/>
      </c>
      <c r="J975" s="31" t="n"/>
      <c r="K975" s="88" t="n"/>
      <c r="L975" s="31" t="n"/>
      <c r="M975" s="31" t="n"/>
      <c r="N975" s="31" t="n"/>
      <c r="O975" s="32" t="n"/>
    </row>
    <row r="976">
      <c r="A976" s="30">
        <f>IF(Database!B976="","",ROW()-1)</f>
        <v/>
      </c>
      <c r="B976" s="30">
        <f>IF(Database!B976="","",Database!B976)</f>
        <v/>
      </c>
      <c r="C976" s="87">
        <f>IF(Database!B976="","",Database!A976)</f>
        <v/>
      </c>
      <c r="D976" s="30">
        <f>IF(Database!B976="","",Database!D976)</f>
        <v/>
      </c>
      <c r="E976" s="30">
        <f>IF(Database!B976="","",Database!E976)</f>
        <v/>
      </c>
      <c r="F976" s="30">
        <f>IF(Database!B976="","",Database!F976)</f>
        <v/>
      </c>
      <c r="G976" s="30">
        <f>IF(Database!B976="","",Database!G976)</f>
        <v/>
      </c>
      <c r="H976" s="30">
        <f>IF(Database!B976="","",Database!C976)</f>
        <v/>
      </c>
      <c r="I976" s="30">
        <f>IF(Database!B976="","",Database!H976)</f>
        <v/>
      </c>
      <c r="J976" s="31" t="n"/>
      <c r="K976" s="88" t="n"/>
      <c r="L976" s="31" t="n"/>
      <c r="M976" s="31" t="n"/>
      <c r="N976" s="31" t="n"/>
      <c r="O976" s="32" t="n"/>
    </row>
    <row r="977">
      <c r="A977" s="30">
        <f>IF(Database!B977="","",ROW()-1)</f>
        <v/>
      </c>
      <c r="B977" s="30">
        <f>IF(Database!B977="","",Database!B977)</f>
        <v/>
      </c>
      <c r="C977" s="87">
        <f>IF(Database!B977="","",Database!A977)</f>
        <v/>
      </c>
      <c r="D977" s="30">
        <f>IF(Database!B977="","",Database!D977)</f>
        <v/>
      </c>
      <c r="E977" s="30">
        <f>IF(Database!B977="","",Database!E977)</f>
        <v/>
      </c>
      <c r="F977" s="30">
        <f>IF(Database!B977="","",Database!F977)</f>
        <v/>
      </c>
      <c r="G977" s="30">
        <f>IF(Database!B977="","",Database!G977)</f>
        <v/>
      </c>
      <c r="H977" s="30">
        <f>IF(Database!B977="","",Database!C977)</f>
        <v/>
      </c>
      <c r="I977" s="30">
        <f>IF(Database!B977="","",Database!H977)</f>
        <v/>
      </c>
      <c r="J977" s="31" t="n"/>
      <c r="K977" s="88" t="n"/>
      <c r="L977" s="31" t="n"/>
      <c r="M977" s="31" t="n"/>
      <c r="N977" s="31" t="n"/>
      <c r="O977" s="32" t="n"/>
    </row>
    <row r="978">
      <c r="A978" s="30">
        <f>IF(Database!B978="","",ROW()-1)</f>
        <v/>
      </c>
      <c r="B978" s="30">
        <f>IF(Database!B978="","",Database!B978)</f>
        <v/>
      </c>
      <c r="C978" s="87">
        <f>IF(Database!B978="","",Database!A978)</f>
        <v/>
      </c>
      <c r="D978" s="30">
        <f>IF(Database!B978="","",Database!D978)</f>
        <v/>
      </c>
      <c r="E978" s="30">
        <f>IF(Database!B978="","",Database!E978)</f>
        <v/>
      </c>
      <c r="F978" s="30">
        <f>IF(Database!B978="","",Database!F978)</f>
        <v/>
      </c>
      <c r="G978" s="30">
        <f>IF(Database!B978="","",Database!G978)</f>
        <v/>
      </c>
      <c r="H978" s="30">
        <f>IF(Database!B978="","",Database!C978)</f>
        <v/>
      </c>
      <c r="I978" s="30">
        <f>IF(Database!B978="","",Database!H978)</f>
        <v/>
      </c>
      <c r="J978" s="31" t="n"/>
      <c r="K978" s="88" t="n"/>
      <c r="L978" s="31" t="n"/>
      <c r="M978" s="31" t="n"/>
      <c r="N978" s="31" t="n"/>
      <c r="O978" s="32" t="n"/>
    </row>
    <row r="979">
      <c r="A979" s="30">
        <f>IF(Database!B979="","",ROW()-1)</f>
        <v/>
      </c>
      <c r="B979" s="30">
        <f>IF(Database!B979="","",Database!B979)</f>
        <v/>
      </c>
      <c r="C979" s="87">
        <f>IF(Database!B979="","",Database!A979)</f>
        <v/>
      </c>
      <c r="D979" s="30">
        <f>IF(Database!B979="","",Database!D979)</f>
        <v/>
      </c>
      <c r="E979" s="30">
        <f>IF(Database!B979="","",Database!E979)</f>
        <v/>
      </c>
      <c r="F979" s="30">
        <f>IF(Database!B979="","",Database!F979)</f>
        <v/>
      </c>
      <c r="G979" s="30">
        <f>IF(Database!B979="","",Database!G979)</f>
        <v/>
      </c>
      <c r="H979" s="30">
        <f>IF(Database!B979="","",Database!C979)</f>
        <v/>
      </c>
      <c r="I979" s="30">
        <f>IF(Database!B979="","",Database!H979)</f>
        <v/>
      </c>
      <c r="J979" s="31" t="n"/>
      <c r="K979" s="88" t="n"/>
      <c r="L979" s="31" t="n"/>
      <c r="M979" s="31" t="n"/>
      <c r="N979" s="31" t="n"/>
      <c r="O979" s="32" t="n"/>
    </row>
    <row r="980">
      <c r="A980" s="30">
        <f>IF(Database!B980="","",ROW()-1)</f>
        <v/>
      </c>
      <c r="B980" s="30">
        <f>IF(Database!B980="","",Database!B980)</f>
        <v/>
      </c>
      <c r="C980" s="87">
        <f>IF(Database!B980="","",Database!A980)</f>
        <v/>
      </c>
      <c r="D980" s="30">
        <f>IF(Database!B980="","",Database!D980)</f>
        <v/>
      </c>
      <c r="E980" s="30">
        <f>IF(Database!B980="","",Database!E980)</f>
        <v/>
      </c>
      <c r="F980" s="30">
        <f>IF(Database!B980="","",Database!F980)</f>
        <v/>
      </c>
      <c r="G980" s="30">
        <f>IF(Database!B980="","",Database!G980)</f>
        <v/>
      </c>
      <c r="H980" s="30">
        <f>IF(Database!B980="","",Database!C980)</f>
        <v/>
      </c>
      <c r="I980" s="30">
        <f>IF(Database!B980="","",Database!H980)</f>
        <v/>
      </c>
      <c r="J980" s="31" t="n"/>
      <c r="K980" s="88" t="n"/>
      <c r="L980" s="31" t="n"/>
      <c r="M980" s="31" t="n"/>
      <c r="N980" s="31" t="n"/>
      <c r="O980" s="32" t="n"/>
    </row>
    <row r="981">
      <c r="A981" s="30">
        <f>IF(Database!B981="","",ROW()-1)</f>
        <v/>
      </c>
      <c r="B981" s="30">
        <f>IF(Database!B981="","",Database!B981)</f>
        <v/>
      </c>
      <c r="C981" s="87">
        <f>IF(Database!B981="","",Database!A981)</f>
        <v/>
      </c>
      <c r="D981" s="30">
        <f>IF(Database!B981="","",Database!D981)</f>
        <v/>
      </c>
      <c r="E981" s="30">
        <f>IF(Database!B981="","",Database!E981)</f>
        <v/>
      </c>
      <c r="F981" s="30">
        <f>IF(Database!B981="","",Database!F981)</f>
        <v/>
      </c>
      <c r="G981" s="30">
        <f>IF(Database!B981="","",Database!G981)</f>
        <v/>
      </c>
      <c r="H981" s="30">
        <f>IF(Database!B981="","",Database!C981)</f>
        <v/>
      </c>
      <c r="I981" s="30">
        <f>IF(Database!B981="","",Database!H981)</f>
        <v/>
      </c>
      <c r="J981" s="31" t="n"/>
      <c r="K981" s="88" t="n"/>
      <c r="L981" s="31" t="n"/>
      <c r="M981" s="31" t="n"/>
      <c r="N981" s="31" t="n"/>
      <c r="O981" s="32" t="n"/>
    </row>
    <row r="982">
      <c r="A982" s="30">
        <f>IF(Database!B982="","",ROW()-1)</f>
        <v/>
      </c>
      <c r="B982" s="30">
        <f>IF(Database!B982="","",Database!B982)</f>
        <v/>
      </c>
      <c r="C982" s="87">
        <f>IF(Database!B982="","",Database!A982)</f>
        <v/>
      </c>
      <c r="D982" s="30">
        <f>IF(Database!B982="","",Database!D982)</f>
        <v/>
      </c>
      <c r="E982" s="30">
        <f>IF(Database!B982="","",Database!E982)</f>
        <v/>
      </c>
      <c r="F982" s="30">
        <f>IF(Database!B982="","",Database!F982)</f>
        <v/>
      </c>
      <c r="G982" s="30">
        <f>IF(Database!B982="","",Database!G982)</f>
        <v/>
      </c>
      <c r="H982" s="30">
        <f>IF(Database!B982="","",Database!C982)</f>
        <v/>
      </c>
      <c r="I982" s="30">
        <f>IF(Database!B982="","",Database!H982)</f>
        <v/>
      </c>
      <c r="J982" s="31" t="n"/>
      <c r="K982" s="88" t="n"/>
      <c r="L982" s="31" t="n"/>
      <c r="M982" s="31" t="n"/>
      <c r="N982" s="31" t="n"/>
      <c r="O982" s="32" t="n"/>
    </row>
    <row r="983">
      <c r="A983" s="30">
        <f>IF(Database!B983="","",ROW()-1)</f>
        <v/>
      </c>
      <c r="B983" s="30">
        <f>IF(Database!B983="","",Database!B983)</f>
        <v/>
      </c>
      <c r="C983" s="87">
        <f>IF(Database!B983="","",Database!A983)</f>
        <v/>
      </c>
      <c r="D983" s="30">
        <f>IF(Database!B983="","",Database!D983)</f>
        <v/>
      </c>
      <c r="E983" s="30">
        <f>IF(Database!B983="","",Database!E983)</f>
        <v/>
      </c>
      <c r="F983" s="30">
        <f>IF(Database!B983="","",Database!F983)</f>
        <v/>
      </c>
      <c r="G983" s="30">
        <f>IF(Database!B983="","",Database!G983)</f>
        <v/>
      </c>
      <c r="H983" s="30">
        <f>IF(Database!B983="","",Database!C983)</f>
        <v/>
      </c>
      <c r="I983" s="30">
        <f>IF(Database!B983="","",Database!H983)</f>
        <v/>
      </c>
      <c r="J983" s="31" t="n"/>
      <c r="K983" s="88" t="n"/>
      <c r="L983" s="31" t="n"/>
      <c r="M983" s="31" t="n"/>
      <c r="N983" s="31" t="n"/>
      <c r="O983" s="32" t="n"/>
    </row>
    <row r="984">
      <c r="A984" s="30">
        <f>IF(Database!B984="","",ROW()-1)</f>
        <v/>
      </c>
      <c r="B984" s="30">
        <f>IF(Database!B984="","",Database!B984)</f>
        <v/>
      </c>
      <c r="C984" s="87">
        <f>IF(Database!B984="","",Database!A984)</f>
        <v/>
      </c>
      <c r="D984" s="30">
        <f>IF(Database!B984="","",Database!D984)</f>
        <v/>
      </c>
      <c r="E984" s="30">
        <f>IF(Database!B984="","",Database!E984)</f>
        <v/>
      </c>
      <c r="F984" s="30">
        <f>IF(Database!B984="","",Database!F984)</f>
        <v/>
      </c>
      <c r="G984" s="30">
        <f>IF(Database!B984="","",Database!G984)</f>
        <v/>
      </c>
      <c r="H984" s="30">
        <f>IF(Database!B984="","",Database!C984)</f>
        <v/>
      </c>
      <c r="I984" s="30">
        <f>IF(Database!B984="","",Database!H984)</f>
        <v/>
      </c>
      <c r="J984" s="31" t="n"/>
      <c r="K984" s="88" t="n"/>
      <c r="L984" s="31" t="n"/>
      <c r="M984" s="31" t="n"/>
      <c r="N984" s="31" t="n"/>
      <c r="O984" s="32" t="n"/>
    </row>
    <row r="985">
      <c r="A985" s="30">
        <f>IF(Database!B985="","",ROW()-1)</f>
        <v/>
      </c>
      <c r="B985" s="30">
        <f>IF(Database!B985="","",Database!B985)</f>
        <v/>
      </c>
      <c r="C985" s="87">
        <f>IF(Database!B985="","",Database!A985)</f>
        <v/>
      </c>
      <c r="D985" s="30">
        <f>IF(Database!B985="","",Database!D985)</f>
        <v/>
      </c>
      <c r="E985" s="30">
        <f>IF(Database!B985="","",Database!E985)</f>
        <v/>
      </c>
      <c r="F985" s="30">
        <f>IF(Database!B985="","",Database!F985)</f>
        <v/>
      </c>
      <c r="G985" s="30">
        <f>IF(Database!B985="","",Database!G985)</f>
        <v/>
      </c>
      <c r="H985" s="30">
        <f>IF(Database!B985="","",Database!C985)</f>
        <v/>
      </c>
      <c r="I985" s="30">
        <f>IF(Database!B985="","",Database!H985)</f>
        <v/>
      </c>
      <c r="J985" s="31" t="n"/>
      <c r="K985" s="88" t="n"/>
      <c r="L985" s="31" t="n"/>
      <c r="M985" s="31" t="n"/>
      <c r="N985" s="31" t="n"/>
      <c r="O985" s="32" t="n"/>
    </row>
    <row r="986">
      <c r="A986" s="30">
        <f>IF(Database!B986="","",ROW()-1)</f>
        <v/>
      </c>
      <c r="B986" s="30">
        <f>IF(Database!B986="","",Database!B986)</f>
        <v/>
      </c>
      <c r="C986" s="87">
        <f>IF(Database!B986="","",Database!A986)</f>
        <v/>
      </c>
      <c r="D986" s="30">
        <f>IF(Database!B986="","",Database!D986)</f>
        <v/>
      </c>
      <c r="E986" s="30">
        <f>IF(Database!B986="","",Database!E986)</f>
        <v/>
      </c>
      <c r="F986" s="30">
        <f>IF(Database!B986="","",Database!F986)</f>
        <v/>
      </c>
      <c r="G986" s="30">
        <f>IF(Database!B986="","",Database!G986)</f>
        <v/>
      </c>
      <c r="H986" s="30">
        <f>IF(Database!B986="","",Database!C986)</f>
        <v/>
      </c>
      <c r="I986" s="30">
        <f>IF(Database!B986="","",Database!H986)</f>
        <v/>
      </c>
      <c r="J986" s="31" t="n"/>
      <c r="K986" s="88" t="n"/>
      <c r="L986" s="31" t="n"/>
      <c r="M986" s="31" t="n"/>
      <c r="N986" s="31" t="n"/>
      <c r="O986" s="32" t="n"/>
    </row>
    <row r="987">
      <c r="A987" s="30">
        <f>IF(Database!B987="","",ROW()-1)</f>
        <v/>
      </c>
      <c r="B987" s="30">
        <f>IF(Database!B987="","",Database!B987)</f>
        <v/>
      </c>
      <c r="C987" s="87">
        <f>IF(Database!B987="","",Database!A987)</f>
        <v/>
      </c>
      <c r="D987" s="30">
        <f>IF(Database!B987="","",Database!D987)</f>
        <v/>
      </c>
      <c r="E987" s="30">
        <f>IF(Database!B987="","",Database!E987)</f>
        <v/>
      </c>
      <c r="F987" s="30">
        <f>IF(Database!B987="","",Database!F987)</f>
        <v/>
      </c>
      <c r="G987" s="30">
        <f>IF(Database!B987="","",Database!G987)</f>
        <v/>
      </c>
      <c r="H987" s="30">
        <f>IF(Database!B987="","",Database!C987)</f>
        <v/>
      </c>
      <c r="I987" s="30">
        <f>IF(Database!B987="","",Database!H987)</f>
        <v/>
      </c>
      <c r="J987" s="31" t="n"/>
      <c r="K987" s="88" t="n"/>
      <c r="L987" s="31" t="n"/>
      <c r="M987" s="31" t="n"/>
      <c r="N987" s="31" t="n"/>
      <c r="O987" s="32" t="n"/>
    </row>
    <row r="988">
      <c r="A988" s="30">
        <f>IF(Database!B988="","",ROW()-1)</f>
        <v/>
      </c>
      <c r="B988" s="30">
        <f>IF(Database!B988="","",Database!B988)</f>
        <v/>
      </c>
      <c r="C988" s="87">
        <f>IF(Database!B988="","",Database!A988)</f>
        <v/>
      </c>
      <c r="D988" s="30">
        <f>IF(Database!B988="","",Database!D988)</f>
        <v/>
      </c>
      <c r="E988" s="30">
        <f>IF(Database!B988="","",Database!E988)</f>
        <v/>
      </c>
      <c r="F988" s="30">
        <f>IF(Database!B988="","",Database!F988)</f>
        <v/>
      </c>
      <c r="G988" s="30">
        <f>IF(Database!B988="","",Database!G988)</f>
        <v/>
      </c>
      <c r="H988" s="30">
        <f>IF(Database!B988="","",Database!C988)</f>
        <v/>
      </c>
      <c r="I988" s="30">
        <f>IF(Database!B988="","",Database!H988)</f>
        <v/>
      </c>
      <c r="J988" s="31" t="n"/>
      <c r="K988" s="88" t="n"/>
      <c r="L988" s="31" t="n"/>
      <c r="M988" s="31" t="n"/>
      <c r="N988" s="31" t="n"/>
      <c r="O988" s="32" t="n"/>
    </row>
    <row r="989">
      <c r="A989" s="30">
        <f>IF(Database!B989="","",ROW()-1)</f>
        <v/>
      </c>
      <c r="B989" s="30">
        <f>IF(Database!B989="","",Database!B989)</f>
        <v/>
      </c>
      <c r="C989" s="87">
        <f>IF(Database!B989="","",Database!A989)</f>
        <v/>
      </c>
      <c r="D989" s="30">
        <f>IF(Database!B989="","",Database!D989)</f>
        <v/>
      </c>
      <c r="E989" s="30">
        <f>IF(Database!B989="","",Database!E989)</f>
        <v/>
      </c>
      <c r="F989" s="30">
        <f>IF(Database!B989="","",Database!F989)</f>
        <v/>
      </c>
      <c r="G989" s="30">
        <f>IF(Database!B989="","",Database!G989)</f>
        <v/>
      </c>
      <c r="H989" s="30">
        <f>IF(Database!B989="","",Database!C989)</f>
        <v/>
      </c>
      <c r="I989" s="30">
        <f>IF(Database!B989="","",Database!H989)</f>
        <v/>
      </c>
      <c r="J989" s="31" t="n"/>
      <c r="K989" s="88" t="n"/>
      <c r="L989" s="31" t="n"/>
      <c r="M989" s="31" t="n"/>
      <c r="N989" s="31" t="n"/>
      <c r="O989" s="32" t="n"/>
    </row>
    <row r="990">
      <c r="A990" s="30">
        <f>IF(Database!B990="","",ROW()-1)</f>
        <v/>
      </c>
      <c r="B990" s="30">
        <f>IF(Database!B990="","",Database!B990)</f>
        <v/>
      </c>
      <c r="C990" s="87">
        <f>IF(Database!B990="","",Database!A990)</f>
        <v/>
      </c>
      <c r="D990" s="30">
        <f>IF(Database!B990="","",Database!D990)</f>
        <v/>
      </c>
      <c r="E990" s="30">
        <f>IF(Database!B990="","",Database!E990)</f>
        <v/>
      </c>
      <c r="F990" s="30">
        <f>IF(Database!B990="","",Database!F990)</f>
        <v/>
      </c>
      <c r="G990" s="30">
        <f>IF(Database!B990="","",Database!G990)</f>
        <v/>
      </c>
      <c r="H990" s="30">
        <f>IF(Database!B990="","",Database!C990)</f>
        <v/>
      </c>
      <c r="I990" s="30">
        <f>IF(Database!B990="","",Database!H990)</f>
        <v/>
      </c>
      <c r="J990" s="31" t="n"/>
      <c r="K990" s="88" t="n"/>
      <c r="L990" s="31" t="n"/>
      <c r="M990" s="31" t="n"/>
      <c r="N990" s="31" t="n"/>
      <c r="O990" s="32" t="n"/>
    </row>
    <row r="991">
      <c r="A991" s="30">
        <f>IF(Database!B991="","",ROW()-1)</f>
        <v/>
      </c>
      <c r="B991" s="30">
        <f>IF(Database!B991="","",Database!B991)</f>
        <v/>
      </c>
      <c r="C991" s="87">
        <f>IF(Database!B991="","",Database!A991)</f>
        <v/>
      </c>
      <c r="D991" s="30">
        <f>IF(Database!B991="","",Database!D991)</f>
        <v/>
      </c>
      <c r="E991" s="30">
        <f>IF(Database!B991="","",Database!E991)</f>
        <v/>
      </c>
      <c r="F991" s="30">
        <f>IF(Database!B991="","",Database!F991)</f>
        <v/>
      </c>
      <c r="G991" s="30">
        <f>IF(Database!B991="","",Database!G991)</f>
        <v/>
      </c>
      <c r="H991" s="30">
        <f>IF(Database!B991="","",Database!C991)</f>
        <v/>
      </c>
      <c r="I991" s="30">
        <f>IF(Database!B991="","",Database!H991)</f>
        <v/>
      </c>
      <c r="J991" s="31" t="n"/>
      <c r="K991" s="88" t="n"/>
      <c r="L991" s="31" t="n"/>
      <c r="M991" s="31" t="n"/>
      <c r="N991" s="31" t="n"/>
      <c r="O991" s="32" t="n"/>
    </row>
    <row r="992">
      <c r="A992" s="30">
        <f>IF(Database!B992="","",ROW()-1)</f>
        <v/>
      </c>
      <c r="B992" s="30">
        <f>IF(Database!B992="","",Database!B992)</f>
        <v/>
      </c>
      <c r="C992" s="87">
        <f>IF(Database!B992="","",Database!A992)</f>
        <v/>
      </c>
      <c r="D992" s="30">
        <f>IF(Database!B992="","",Database!D992)</f>
        <v/>
      </c>
      <c r="E992" s="30">
        <f>IF(Database!B992="","",Database!E992)</f>
        <v/>
      </c>
      <c r="F992" s="30">
        <f>IF(Database!B992="","",Database!F992)</f>
        <v/>
      </c>
      <c r="G992" s="30">
        <f>IF(Database!B992="","",Database!G992)</f>
        <v/>
      </c>
      <c r="H992" s="30">
        <f>IF(Database!B992="","",Database!C992)</f>
        <v/>
      </c>
      <c r="I992" s="30">
        <f>IF(Database!B992="","",Database!H992)</f>
        <v/>
      </c>
      <c r="J992" s="31" t="n"/>
      <c r="K992" s="88" t="n"/>
      <c r="L992" s="31" t="n"/>
      <c r="M992" s="31" t="n"/>
      <c r="N992" s="31" t="n"/>
      <c r="O992" s="32" t="n"/>
    </row>
    <row r="993">
      <c r="A993" s="30">
        <f>IF(Database!B993="","",ROW()-1)</f>
        <v/>
      </c>
      <c r="B993" s="30">
        <f>IF(Database!B993="","",Database!B993)</f>
        <v/>
      </c>
      <c r="C993" s="87">
        <f>IF(Database!B993="","",Database!A993)</f>
        <v/>
      </c>
      <c r="D993" s="30">
        <f>IF(Database!B993="","",Database!D993)</f>
        <v/>
      </c>
      <c r="E993" s="30">
        <f>IF(Database!B993="","",Database!E993)</f>
        <v/>
      </c>
      <c r="F993" s="30">
        <f>IF(Database!B993="","",Database!F993)</f>
        <v/>
      </c>
      <c r="G993" s="30">
        <f>IF(Database!B993="","",Database!G993)</f>
        <v/>
      </c>
      <c r="H993" s="30">
        <f>IF(Database!B993="","",Database!C993)</f>
        <v/>
      </c>
      <c r="I993" s="30">
        <f>IF(Database!B993="","",Database!H993)</f>
        <v/>
      </c>
      <c r="J993" s="31" t="n"/>
      <c r="K993" s="88" t="n"/>
      <c r="L993" s="31" t="n"/>
      <c r="M993" s="31" t="n"/>
      <c r="N993" s="31" t="n"/>
      <c r="O993" s="32" t="n"/>
    </row>
    <row r="994">
      <c r="A994" s="30">
        <f>IF(Database!B994="","",ROW()-1)</f>
        <v/>
      </c>
      <c r="B994" s="30">
        <f>IF(Database!B994="","",Database!B994)</f>
        <v/>
      </c>
      <c r="C994" s="87">
        <f>IF(Database!B994="","",Database!A994)</f>
        <v/>
      </c>
      <c r="D994" s="30">
        <f>IF(Database!B994="","",Database!D994)</f>
        <v/>
      </c>
      <c r="E994" s="30">
        <f>IF(Database!B994="","",Database!E994)</f>
        <v/>
      </c>
      <c r="F994" s="30">
        <f>IF(Database!B994="","",Database!F994)</f>
        <v/>
      </c>
      <c r="G994" s="30">
        <f>IF(Database!B994="","",Database!G994)</f>
        <v/>
      </c>
      <c r="H994" s="30">
        <f>IF(Database!B994="","",Database!C994)</f>
        <v/>
      </c>
      <c r="I994" s="30">
        <f>IF(Database!B994="","",Database!H994)</f>
        <v/>
      </c>
      <c r="J994" s="31" t="n"/>
      <c r="K994" s="88" t="n"/>
      <c r="L994" s="31" t="n"/>
      <c r="M994" s="31" t="n"/>
      <c r="N994" s="31" t="n"/>
      <c r="O994" s="32" t="n"/>
    </row>
    <row r="995">
      <c r="A995" s="30">
        <f>IF(Database!B995="","",ROW()-1)</f>
        <v/>
      </c>
      <c r="B995" s="30">
        <f>IF(Database!B995="","",Database!B995)</f>
        <v/>
      </c>
      <c r="C995" s="87">
        <f>IF(Database!B995="","",Database!A995)</f>
        <v/>
      </c>
      <c r="D995" s="30">
        <f>IF(Database!B995="","",Database!D995)</f>
        <v/>
      </c>
      <c r="E995" s="30">
        <f>IF(Database!B995="","",Database!E995)</f>
        <v/>
      </c>
      <c r="F995" s="30">
        <f>IF(Database!B995="","",Database!F995)</f>
        <v/>
      </c>
      <c r="G995" s="30">
        <f>IF(Database!B995="","",Database!G995)</f>
        <v/>
      </c>
      <c r="H995" s="30">
        <f>IF(Database!B995="","",Database!C995)</f>
        <v/>
      </c>
      <c r="I995" s="30">
        <f>IF(Database!B995="","",Database!H995)</f>
        <v/>
      </c>
      <c r="J995" s="31" t="n"/>
      <c r="K995" s="88" t="n"/>
      <c r="L995" s="31" t="n"/>
      <c r="M995" s="31" t="n"/>
      <c r="N995" s="31" t="n"/>
      <c r="O995" s="32" t="n"/>
    </row>
    <row r="996">
      <c r="A996" s="30">
        <f>IF(Database!B996="","",ROW()-1)</f>
        <v/>
      </c>
      <c r="B996" s="30">
        <f>IF(Database!B996="","",Database!B996)</f>
        <v/>
      </c>
      <c r="C996" s="87">
        <f>IF(Database!B996="","",Database!A996)</f>
        <v/>
      </c>
      <c r="D996" s="30">
        <f>IF(Database!B996="","",Database!D996)</f>
        <v/>
      </c>
      <c r="E996" s="30">
        <f>IF(Database!B996="","",Database!E996)</f>
        <v/>
      </c>
      <c r="F996" s="30">
        <f>IF(Database!B996="","",Database!F996)</f>
        <v/>
      </c>
      <c r="G996" s="30">
        <f>IF(Database!B996="","",Database!G996)</f>
        <v/>
      </c>
      <c r="H996" s="30">
        <f>IF(Database!B996="","",Database!C996)</f>
        <v/>
      </c>
      <c r="I996" s="30">
        <f>IF(Database!B996="","",Database!H996)</f>
        <v/>
      </c>
      <c r="J996" s="31" t="n"/>
      <c r="K996" s="88" t="n"/>
      <c r="L996" s="31" t="n"/>
      <c r="M996" s="31" t="n"/>
      <c r="N996" s="31" t="n"/>
      <c r="O996" s="32" t="n"/>
    </row>
    <row r="997">
      <c r="A997" s="30">
        <f>IF(Database!B997="","",ROW()-1)</f>
        <v/>
      </c>
      <c r="B997" s="30">
        <f>IF(Database!B997="","",Database!B997)</f>
        <v/>
      </c>
      <c r="C997" s="87">
        <f>IF(Database!B997="","",Database!A997)</f>
        <v/>
      </c>
      <c r="D997" s="30">
        <f>IF(Database!B997="","",Database!D997)</f>
        <v/>
      </c>
      <c r="E997" s="30">
        <f>IF(Database!B997="","",Database!E997)</f>
        <v/>
      </c>
      <c r="F997" s="30">
        <f>IF(Database!B997="","",Database!F997)</f>
        <v/>
      </c>
      <c r="G997" s="30">
        <f>IF(Database!B997="","",Database!G997)</f>
        <v/>
      </c>
      <c r="H997" s="30">
        <f>IF(Database!B997="","",Database!C997)</f>
        <v/>
      </c>
      <c r="I997" s="30">
        <f>IF(Database!B997="","",Database!H997)</f>
        <v/>
      </c>
      <c r="J997" s="31" t="n"/>
      <c r="K997" s="88" t="n"/>
      <c r="L997" s="31" t="n"/>
      <c r="M997" s="31" t="n"/>
      <c r="N997" s="31" t="n"/>
      <c r="O997" s="32" t="n"/>
    </row>
    <row r="998">
      <c r="A998" s="30">
        <f>IF(Database!B998="","",ROW()-1)</f>
        <v/>
      </c>
      <c r="B998" s="30">
        <f>IF(Database!B998="","",Database!B998)</f>
        <v/>
      </c>
      <c r="C998" s="87">
        <f>IF(Database!B998="","",Database!A998)</f>
        <v/>
      </c>
      <c r="D998" s="30">
        <f>IF(Database!B998="","",Database!D998)</f>
        <v/>
      </c>
      <c r="E998" s="30">
        <f>IF(Database!B998="","",Database!E998)</f>
        <v/>
      </c>
      <c r="F998" s="30">
        <f>IF(Database!B998="","",Database!F998)</f>
        <v/>
      </c>
      <c r="G998" s="30">
        <f>IF(Database!B998="","",Database!G998)</f>
        <v/>
      </c>
      <c r="H998" s="30">
        <f>IF(Database!B998="","",Database!C998)</f>
        <v/>
      </c>
      <c r="I998" s="30">
        <f>IF(Database!B998="","",Database!H998)</f>
        <v/>
      </c>
      <c r="J998" s="31" t="n"/>
      <c r="K998" s="88" t="n"/>
      <c r="L998" s="31" t="n"/>
      <c r="M998" s="31" t="n"/>
      <c r="N998" s="31" t="n"/>
      <c r="O998" s="32" t="n"/>
    </row>
    <row r="999">
      <c r="A999" s="30">
        <f>IF(Database!B999="","",ROW()-1)</f>
        <v/>
      </c>
      <c r="B999" s="30">
        <f>IF(Database!B999="","",Database!B999)</f>
        <v/>
      </c>
      <c r="C999" s="87">
        <f>IF(Database!B999="","",Database!A999)</f>
        <v/>
      </c>
      <c r="D999" s="30">
        <f>IF(Database!B999="","",Database!D999)</f>
        <v/>
      </c>
      <c r="E999" s="30">
        <f>IF(Database!B999="","",Database!E999)</f>
        <v/>
      </c>
      <c r="F999" s="30">
        <f>IF(Database!B999="","",Database!F999)</f>
        <v/>
      </c>
      <c r="G999" s="30">
        <f>IF(Database!B999="","",Database!G999)</f>
        <v/>
      </c>
      <c r="H999" s="30">
        <f>IF(Database!B999="","",Database!C999)</f>
        <v/>
      </c>
      <c r="I999" s="30">
        <f>IF(Database!B999="","",Database!H999)</f>
        <v/>
      </c>
      <c r="J999" s="31" t="n"/>
      <c r="K999" s="88" t="n"/>
      <c r="L999" s="31" t="n"/>
      <c r="M999" s="31" t="n"/>
      <c r="N999" s="31" t="n"/>
      <c r="O999" s="32" t="n"/>
    </row>
    <row r="1000">
      <c r="A1000" s="30">
        <f>IF(Database!B1000="","",ROW()-1)</f>
        <v/>
      </c>
      <c r="B1000" s="30">
        <f>IF(Database!B1000="","",Database!B1000)</f>
        <v/>
      </c>
      <c r="C1000" s="87">
        <f>IF(Database!B1000="","",Database!A1000)</f>
        <v/>
      </c>
      <c r="D1000" s="30">
        <f>IF(Database!B1000="","",Database!D1000)</f>
        <v/>
      </c>
      <c r="E1000" s="30">
        <f>IF(Database!B1000="","",Database!E1000)</f>
        <v/>
      </c>
      <c r="F1000" s="30">
        <f>IF(Database!B1000="","",Database!F1000)</f>
        <v/>
      </c>
      <c r="G1000" s="30">
        <f>IF(Database!B1000="","",Database!G1000)</f>
        <v/>
      </c>
      <c r="H1000" s="30">
        <f>IF(Database!B1000="","",Database!C1000)</f>
        <v/>
      </c>
      <c r="I1000" s="30">
        <f>IF(Database!B1000="","",Database!H1000)</f>
        <v/>
      </c>
      <c r="J1000" s="31" t="n"/>
      <c r="K1000" s="88" t="n"/>
      <c r="L1000" s="31" t="n"/>
      <c r="M1000" s="31" t="n"/>
      <c r="N1000" s="31" t="n"/>
      <c r="O1000" s="32" t="n"/>
    </row>
    <row r="1001">
      <c r="A1001" s="30">
        <f>IF(Database!B1001="","",ROW()-1)</f>
        <v/>
      </c>
      <c r="B1001" s="30">
        <f>IF(Database!B1001="","",Database!B1001)</f>
        <v/>
      </c>
      <c r="C1001" s="87">
        <f>IF(Database!B1001="","",Database!A1001)</f>
        <v/>
      </c>
      <c r="D1001" s="30">
        <f>IF(Database!B1001="","",Database!D1001)</f>
        <v/>
      </c>
      <c r="E1001" s="30">
        <f>IF(Database!B1001="","",Database!E1001)</f>
        <v/>
      </c>
      <c r="F1001" s="30">
        <f>IF(Database!B1001="","",Database!F1001)</f>
        <v/>
      </c>
      <c r="G1001" s="30">
        <f>IF(Database!B1001="","",Database!G1001)</f>
        <v/>
      </c>
      <c r="H1001" s="30">
        <f>IF(Database!B1001="","",Database!C1001)</f>
        <v/>
      </c>
      <c r="I1001" s="30">
        <f>IF(Database!B1001="","",Database!H1001)</f>
        <v/>
      </c>
      <c r="J1001" s="31" t="n"/>
      <c r="K1001" s="88" t="n"/>
      <c r="L1001" s="31" t="n"/>
      <c r="M1001" s="31" t="n"/>
      <c r="N1001" s="31" t="n"/>
      <c r="O1001" s="32" t="n"/>
    </row>
  </sheetData>
  <dataValidations count="3">
    <dataValidation sqref="J2:J1001" showDropDown="0" showInputMessage="0" showErrorMessage="0" allowBlank="0" type="list">
      <formula1>legenda!$C$2:$C$4</formula1>
    </dataValidation>
    <dataValidation sqref="L2:L1001" showDropDown="0" showInputMessage="0" showErrorMessage="0" allowBlank="0" type="list">
      <formula1>legenda!$B$2:$B$10</formula1>
    </dataValidation>
    <dataValidation sqref="K2:K1001" showDropDown="0" showInputMessage="0" showErrorMessage="0" allowBlank="0" type="date" operator="between">
      <formula1>DATE(2020,1,1)</formula1>
      <formula2>DATE(2035,12,31)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00"/>
  <sheetViews>
    <sheetView workbookViewId="0">
      <selection activeCell="A1" sqref="A1"/>
    </sheetView>
  </sheetViews>
  <sheetFormatPr baseColWidth="8" defaultRowHeight="15"/>
  <cols>
    <col width="8" customWidth="1" style="72" min="1" max="1"/>
    <col width="28" customWidth="1" style="72" min="2" max="2"/>
    <col width="14" customWidth="1" style="72" min="3" max="3"/>
    <col width="28" customWidth="1" style="72" min="4" max="4"/>
    <col width="18" customWidth="1" style="72" min="5" max="5"/>
    <col width="12" customWidth="1" style="72" min="6" max="6"/>
    <col width="14" customWidth="1" style="72" min="7" max="7"/>
    <col width="16" customWidth="1" style="72" min="8" max="8"/>
    <col width="18" customWidth="1" style="72" min="9" max="9"/>
    <col width="14" customWidth="1" style="72" min="10" max="10"/>
    <col width="14" customWidth="1" style="72" min="11" max="11"/>
    <col width="15" customWidth="1" style="72" min="12" max="12"/>
    <col width="18" customWidth="1" style="72" min="13" max="13"/>
    <col width="24" customWidth="1" style="72" min="14" max="14"/>
    <col width="26" customWidth="1" style="72" min="15" max="15"/>
    <col width="24" customWidth="1" style="72" min="17" max="17"/>
    <col width="24" customWidth="1" style="72" min="18" max="18"/>
  </cols>
  <sheetData>
    <row r="1" ht="22" customHeight="1" s="72">
      <c r="A1" s="12" t="inlineStr">
        <is>
          <t>ID</t>
        </is>
      </c>
      <c r="B1" s="13" t="inlineStr">
        <is>
          <t>Nome do inscrito(a)</t>
        </is>
      </c>
      <c r="C1" s="89" t="inlineStr">
        <is>
          <t>Data de inscrição</t>
        </is>
      </c>
      <c r="D1" s="13" t="inlineStr">
        <is>
          <t>E-mail</t>
        </is>
      </c>
      <c r="E1" s="13" t="inlineStr">
        <is>
          <t>Contato</t>
        </is>
      </c>
      <c r="F1" s="13" t="inlineStr">
        <is>
          <t>Região</t>
        </is>
      </c>
      <c r="G1" s="13" t="inlineStr">
        <is>
          <t>Turma</t>
        </is>
      </c>
      <c r="H1" s="13" t="inlineStr">
        <is>
          <t>Idade</t>
        </is>
      </c>
      <c r="I1" s="13" t="inlineStr">
        <is>
          <t>Renda Familiar</t>
        </is>
      </c>
      <c r="J1" s="13" t="inlineStr">
        <is>
          <t>Equipe Example Organization</t>
        </is>
      </c>
      <c r="K1" s="89" t="inlineStr">
        <is>
          <t>Agendamento</t>
        </is>
      </c>
      <c r="L1" s="13" t="inlineStr">
        <is>
          <t>Status</t>
        </is>
      </c>
      <c r="M1" s="13" t="inlineStr">
        <is>
          <t>Motivo</t>
        </is>
      </c>
      <c r="N1" s="13" t="inlineStr">
        <is>
          <t>Comentários</t>
        </is>
      </c>
      <c r="O1" s="14" t="inlineStr">
        <is>
          <t>Pendências</t>
        </is>
      </c>
      <c r="Q1" s="82" t="inlineStr">
        <is>
          <t>Status filtrado</t>
        </is>
      </c>
      <c r="R1" s="82" t="inlineStr">
        <is>
          <t>Observação</t>
        </is>
      </c>
    </row>
    <row r="2">
      <c r="A2" s="17">
        <f>IFERROR(FILTER(Candidatos!A2:O1001,Candidatos!L2:L1001="Aprovado"),"")</f>
        <v/>
      </c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Q2" t="inlineStr">
        <is>
          <t>Aprovado</t>
        </is>
      </c>
      <c r="R2" t="inlineStr">
        <is>
          <t>Atualiza automaticamente com base na aba Candidatos.</t>
        </is>
      </c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Q3" t="inlineStr">
        <is>
          <t>Total</t>
        </is>
      </c>
      <c r="R3">
        <f>COUNTIFS(Candidatos!B2:B1001,"?*",Candidatos!L2:L1001,"Aprovado")</f>
        <v/>
      </c>
    </row>
    <row r="4">
      <c r="A4" s="26" t="n"/>
      <c r="B4" s="27" t="n"/>
      <c r="C4" s="17" t="n"/>
      <c r="D4" s="17" t="n"/>
      <c r="E4" s="17" t="n"/>
      <c r="F4" s="17" t="n"/>
      <c r="G4" s="17" t="n"/>
      <c r="H4" s="17" t="n"/>
      <c r="I4" s="17" t="n"/>
      <c r="J4" s="17" t="n"/>
      <c r="K4" s="17" t="n"/>
      <c r="L4" s="17" t="n"/>
      <c r="M4" s="17" t="n"/>
      <c r="N4" s="17" t="n"/>
      <c r="O4" s="17" t="n"/>
    </row>
    <row r="5">
      <c r="A5" s="17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</row>
    <row r="6">
      <c r="A6" s="17" t="n"/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</row>
    <row r="7">
      <c r="A7" s="17" t="n"/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</row>
    <row r="8">
      <c r="A8" s="17" t="n"/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</row>
    <row r="46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</row>
    <row r="55">
      <c r="A55" s="17" t="n"/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</row>
    <row r="56">
      <c r="A56" s="17" t="n"/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</row>
    <row r="57">
      <c r="A57" s="17" t="n"/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</row>
    <row r="58">
      <c r="A58" s="17" t="n"/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</row>
    <row r="59">
      <c r="A59" s="17" t="n"/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</row>
    <row r="60">
      <c r="A60" s="17" t="n"/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</row>
    <row r="61">
      <c r="A61" s="17" t="n"/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</row>
    <row r="62">
      <c r="A62" s="17" t="n"/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</row>
    <row r="63">
      <c r="A63" s="17" t="n"/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</row>
    <row r="64">
      <c r="A64" s="17" t="n"/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</row>
    <row r="65">
      <c r="A65" s="17" t="n"/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</row>
    <row r="66">
      <c r="A66" s="17" t="n"/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</row>
    <row r="67">
      <c r="A67" s="17" t="n"/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</row>
    <row r="68">
      <c r="A68" s="17" t="n"/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</row>
    <row r="69">
      <c r="A69" s="17" t="n"/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</row>
    <row r="70">
      <c r="A70" s="17" t="n"/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</row>
    <row r="71">
      <c r="A71" s="17" t="n"/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</row>
    <row r="72">
      <c r="A72" s="17" t="n"/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</row>
    <row r="73">
      <c r="A73" s="17" t="n"/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</row>
    <row r="74">
      <c r="A74" s="17" t="n"/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</row>
    <row r="75">
      <c r="A75" s="17" t="n"/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</row>
    <row r="76">
      <c r="A76" s="17" t="n"/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</row>
    <row r="77">
      <c r="A77" s="17" t="n"/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</row>
    <row r="78">
      <c r="A78" s="17" t="n"/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</row>
    <row r="79">
      <c r="A79" s="17" t="n"/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</row>
    <row r="80">
      <c r="A80" s="17" t="n"/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</row>
    <row r="81">
      <c r="A81" s="17" t="n"/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</row>
    <row r="82">
      <c r="A82" s="17" t="n"/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</row>
    <row r="83">
      <c r="A83" s="17" t="n"/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</row>
    <row r="84">
      <c r="A84" s="17" t="n"/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</row>
    <row r="85">
      <c r="A85" s="17" t="n"/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</row>
    <row r="86">
      <c r="A86" s="17" t="n"/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</row>
    <row r="87">
      <c r="A87" s="17" t="n"/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</row>
    <row r="88">
      <c r="A88" s="17" t="n"/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</row>
    <row r="89">
      <c r="A89" s="17" t="n"/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</row>
    <row r="90">
      <c r="A90" s="17" t="n"/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</row>
    <row r="91">
      <c r="A91" s="17" t="n"/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</row>
    <row r="92">
      <c r="A92" s="17" t="n"/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</row>
    <row r="93">
      <c r="A93" s="17" t="n"/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</row>
    <row r="94">
      <c r="A94" s="17" t="n"/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</row>
    <row r="95">
      <c r="A95" s="17" t="n"/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</row>
    <row r="96">
      <c r="A96" s="17" t="n"/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</row>
    <row r="97">
      <c r="A97" s="17" t="n"/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</row>
    <row r="98">
      <c r="A98" s="17" t="n"/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</row>
    <row r="99">
      <c r="A99" s="17" t="n"/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</row>
    <row r="100">
      <c r="A100" s="17" t="n"/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</row>
    <row r="101">
      <c r="A101" s="17" t="n"/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</row>
    <row r="102">
      <c r="A102" s="17" t="n"/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</row>
    <row r="103">
      <c r="A103" s="17" t="n"/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</row>
    <row r="104">
      <c r="A104" s="17" t="n"/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</row>
    <row r="105">
      <c r="A105" s="17" t="n"/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</row>
    <row r="106">
      <c r="A106" s="17" t="n"/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</row>
    <row r="107">
      <c r="A107" s="17" t="n"/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</row>
    <row r="108">
      <c r="A108" s="17" t="n"/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</row>
    <row r="109">
      <c r="A109" s="17" t="n"/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</row>
    <row r="110">
      <c r="A110" s="17" t="n"/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</row>
    <row r="111">
      <c r="A111" s="17" t="n"/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</row>
    <row r="112">
      <c r="A112" s="17" t="n"/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</row>
    <row r="113">
      <c r="A113" s="17" t="n"/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</row>
    <row r="114">
      <c r="A114" s="17" t="n"/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</row>
    <row r="115">
      <c r="A115" s="17" t="n"/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</row>
    <row r="116">
      <c r="A116" s="17" t="n"/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</row>
    <row r="117">
      <c r="A117" s="17" t="n"/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</row>
    <row r="118">
      <c r="A118" s="17" t="n"/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</row>
    <row r="119">
      <c r="A119" s="17" t="n"/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</row>
    <row r="120">
      <c r="A120" s="17" t="n"/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</row>
    <row r="121">
      <c r="A121" s="17" t="n"/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</row>
    <row r="122">
      <c r="A122" s="17" t="n"/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</row>
    <row r="123">
      <c r="A123" s="17" t="n"/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</row>
    <row r="124">
      <c r="A124" s="17" t="n"/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</row>
    <row r="125">
      <c r="A125" s="17" t="n"/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</row>
    <row r="126">
      <c r="A126" s="17" t="n"/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</row>
    <row r="127">
      <c r="A127" s="17" t="n"/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</row>
    <row r="128">
      <c r="A128" s="17" t="n"/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</row>
    <row r="129">
      <c r="A129" s="17" t="n"/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</row>
    <row r="130">
      <c r="A130" s="17" t="n"/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</row>
    <row r="131">
      <c r="A131" s="17" t="n"/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</row>
    <row r="132">
      <c r="A132" s="17" t="n"/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</row>
    <row r="133">
      <c r="A133" s="17" t="n"/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</row>
    <row r="134">
      <c r="A134" s="17" t="n"/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</row>
    <row r="135">
      <c r="A135" s="17" t="n"/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</row>
    <row r="136">
      <c r="A136" s="17" t="n"/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</row>
    <row r="137">
      <c r="A137" s="17" t="n"/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</row>
    <row r="138">
      <c r="A138" s="17" t="n"/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</row>
    <row r="139">
      <c r="A139" s="17" t="n"/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</row>
    <row r="140">
      <c r="A140" s="17" t="n"/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</row>
    <row r="141">
      <c r="A141" s="17" t="n"/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</row>
    <row r="142">
      <c r="A142" s="17" t="n"/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</row>
    <row r="143">
      <c r="A143" s="17" t="n"/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</row>
    <row r="144">
      <c r="A144" s="17" t="n"/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</row>
    <row r="145">
      <c r="A145" s="17" t="n"/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</row>
    <row r="146">
      <c r="A146" s="17" t="n"/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</row>
    <row r="147">
      <c r="A147" s="17" t="n"/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</row>
    <row r="148">
      <c r="A148" s="17" t="n"/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</row>
    <row r="149">
      <c r="A149" s="17" t="n"/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</row>
    <row r="150">
      <c r="A150" s="17" t="n"/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</row>
    <row r="151">
      <c r="A151" s="17" t="n"/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</row>
    <row r="152">
      <c r="A152" s="17" t="n"/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</row>
    <row r="153">
      <c r="A153" s="17" t="n"/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</row>
    <row r="154">
      <c r="A154" s="17" t="n"/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</row>
    <row r="155">
      <c r="A155" s="17" t="n"/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</row>
    <row r="156">
      <c r="A156" s="17" t="n"/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</row>
    <row r="157">
      <c r="A157" s="17" t="n"/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</row>
    <row r="158">
      <c r="A158" s="17" t="n"/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</row>
    <row r="159">
      <c r="A159" s="17" t="n"/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</row>
    <row r="160">
      <c r="A160" s="17" t="n"/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</row>
    <row r="161">
      <c r="A161" s="17" t="n"/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</row>
    <row r="162">
      <c r="A162" s="17" t="n"/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</row>
    <row r="163">
      <c r="A163" s="17" t="n"/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</row>
    <row r="164">
      <c r="A164" s="17" t="n"/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</row>
    <row r="165">
      <c r="A165" s="17" t="n"/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</row>
    <row r="166">
      <c r="A166" s="17" t="n"/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</row>
    <row r="167">
      <c r="A167" s="17" t="n"/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</row>
    <row r="168">
      <c r="A168" s="17" t="n"/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</row>
    <row r="169">
      <c r="A169" s="17" t="n"/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</row>
    <row r="170">
      <c r="A170" s="17" t="n"/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</row>
    <row r="171">
      <c r="A171" s="17" t="n"/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</row>
    <row r="172">
      <c r="A172" s="17" t="n"/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</row>
    <row r="173">
      <c r="A173" s="17" t="n"/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</row>
    <row r="174">
      <c r="A174" s="17" t="n"/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</row>
    <row r="175">
      <c r="A175" s="17" t="n"/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</row>
    <row r="176">
      <c r="A176" s="17" t="n"/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</row>
    <row r="177">
      <c r="A177" s="17" t="n"/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</row>
    <row r="178">
      <c r="A178" s="17" t="n"/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</row>
    <row r="179">
      <c r="A179" s="17" t="n"/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</row>
    <row r="180">
      <c r="A180" s="17" t="n"/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</row>
    <row r="181">
      <c r="A181" s="17" t="n"/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</row>
    <row r="182">
      <c r="A182" s="17" t="n"/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</row>
    <row r="183">
      <c r="A183" s="17" t="n"/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</row>
    <row r="184">
      <c r="A184" s="17" t="n"/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</row>
    <row r="185">
      <c r="A185" s="17" t="n"/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</row>
    <row r="186">
      <c r="A186" s="17" t="n"/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</row>
    <row r="187">
      <c r="A187" s="17" t="n"/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</row>
    <row r="188">
      <c r="A188" s="17" t="n"/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</row>
    <row r="189">
      <c r="A189" s="17" t="n"/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</row>
    <row r="190">
      <c r="A190" s="17" t="n"/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</row>
    <row r="191">
      <c r="A191" s="17" t="n"/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</row>
    <row r="192">
      <c r="A192" s="17" t="n"/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</row>
    <row r="193">
      <c r="A193" s="17" t="n"/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</row>
    <row r="194">
      <c r="A194" s="17" t="n"/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</row>
    <row r="195">
      <c r="A195" s="17" t="n"/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</row>
    <row r="196">
      <c r="A196" s="17" t="n"/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</row>
    <row r="197">
      <c r="A197" s="17" t="n"/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</row>
    <row r="198">
      <c r="A198" s="17" t="n"/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</row>
    <row r="199">
      <c r="A199" s="17" t="n"/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</row>
    <row r="200">
      <c r="A200" s="17" t="n"/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00"/>
  <sheetViews>
    <sheetView workbookViewId="0">
      <selection activeCell="A1" sqref="A1"/>
    </sheetView>
  </sheetViews>
  <sheetFormatPr baseColWidth="8" defaultRowHeight="15"/>
  <cols>
    <col width="8" customWidth="1" style="72" min="1" max="1"/>
    <col width="28" customWidth="1" style="72" min="2" max="2"/>
    <col width="14" customWidth="1" style="72" min="3" max="3"/>
    <col width="28" customWidth="1" style="72" min="4" max="4"/>
    <col width="18" customWidth="1" style="72" min="5" max="5"/>
    <col width="12" customWidth="1" style="72" min="6" max="6"/>
    <col width="14" customWidth="1" style="72" min="7" max="7"/>
    <col width="16" customWidth="1" style="72" min="8" max="8"/>
    <col width="18" customWidth="1" style="72" min="9" max="9"/>
    <col width="14" customWidth="1" style="72" min="10" max="10"/>
    <col width="14" customWidth="1" style="72" min="11" max="11"/>
    <col width="15" customWidth="1" style="72" min="12" max="12"/>
    <col width="18" customWidth="1" style="72" min="13" max="13"/>
    <col width="24" customWidth="1" style="72" min="14" max="14"/>
    <col width="26" customWidth="1" style="72" min="15" max="15"/>
    <col width="24" customWidth="1" style="72" min="17" max="17"/>
    <col width="24" customWidth="1" style="72" min="18" max="18"/>
  </cols>
  <sheetData>
    <row r="1" ht="22" customHeight="1" s="72">
      <c r="A1" s="12" t="inlineStr">
        <is>
          <t>ID</t>
        </is>
      </c>
      <c r="B1" s="13" t="inlineStr">
        <is>
          <t>Nome do inscrito(a)</t>
        </is>
      </c>
      <c r="C1" s="89" t="inlineStr">
        <is>
          <t>Data de inscrição</t>
        </is>
      </c>
      <c r="D1" s="13" t="inlineStr">
        <is>
          <t>E-mail</t>
        </is>
      </c>
      <c r="E1" s="13" t="inlineStr">
        <is>
          <t>Contato</t>
        </is>
      </c>
      <c r="F1" s="13" t="inlineStr">
        <is>
          <t>Região</t>
        </is>
      </c>
      <c r="G1" s="13" t="inlineStr">
        <is>
          <t>Turma</t>
        </is>
      </c>
      <c r="H1" s="13" t="inlineStr">
        <is>
          <t>Idade</t>
        </is>
      </c>
      <c r="I1" s="13" t="inlineStr">
        <is>
          <t>Renda Familiar</t>
        </is>
      </c>
      <c r="J1" s="13" t="inlineStr">
        <is>
          <t>Equipe Example Organization</t>
        </is>
      </c>
      <c r="K1" s="89" t="inlineStr">
        <is>
          <t>Agendamento</t>
        </is>
      </c>
      <c r="L1" s="13" t="inlineStr">
        <is>
          <t>Status</t>
        </is>
      </c>
      <c r="M1" s="13" t="inlineStr">
        <is>
          <t>Motivo</t>
        </is>
      </c>
      <c r="N1" s="13" t="inlineStr">
        <is>
          <t>Comentários</t>
        </is>
      </c>
      <c r="O1" s="14" t="inlineStr">
        <is>
          <t>Pendências</t>
        </is>
      </c>
      <c r="Q1" s="82" t="inlineStr">
        <is>
          <t>Status filtrado</t>
        </is>
      </c>
      <c r="R1" s="82" t="inlineStr">
        <is>
          <t>Observação</t>
        </is>
      </c>
    </row>
    <row r="2">
      <c r="A2" s="17">
        <f>IFERROR(FILTER(Candidatos!A2:O1001,Candidatos!L2:L1001="Em análise"),"")</f>
        <v/>
      </c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Q2" t="inlineStr">
        <is>
          <t>Em análise</t>
        </is>
      </c>
      <c r="R2" t="inlineStr">
        <is>
          <t>Atualiza automaticamente com base na aba Candidatos.</t>
        </is>
      </c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Q3" t="inlineStr">
        <is>
          <t>Total</t>
        </is>
      </c>
      <c r="R3">
        <f>COUNTIFS(Candidatos!B2:B1001,"?*",Candidatos!L2:L1001,"Em análise")</f>
        <v/>
      </c>
    </row>
    <row r="4">
      <c r="A4" s="26" t="n"/>
      <c r="B4" s="27" t="n"/>
      <c r="C4" s="17" t="n"/>
      <c r="D4" s="17" t="n"/>
      <c r="E4" s="17" t="n"/>
      <c r="F4" s="17" t="n"/>
      <c r="G4" s="17" t="n"/>
      <c r="H4" s="17" t="n"/>
      <c r="I4" s="17" t="n"/>
      <c r="J4" s="17" t="n"/>
      <c r="K4" s="17" t="n"/>
      <c r="L4" s="17" t="n"/>
      <c r="M4" s="17" t="n"/>
      <c r="N4" s="17" t="n"/>
      <c r="O4" s="17" t="n"/>
    </row>
    <row r="5">
      <c r="A5" s="17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</row>
    <row r="6">
      <c r="A6" s="17" t="n"/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</row>
    <row r="7">
      <c r="A7" s="17" t="n"/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</row>
    <row r="8">
      <c r="A8" s="17" t="n"/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</row>
    <row r="46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</row>
    <row r="55">
      <c r="A55" s="17" t="n"/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</row>
    <row r="56">
      <c r="A56" s="17" t="n"/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</row>
    <row r="57">
      <c r="A57" s="17" t="n"/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</row>
    <row r="58">
      <c r="A58" s="17" t="n"/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</row>
    <row r="59">
      <c r="A59" s="17" t="n"/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</row>
    <row r="60">
      <c r="A60" s="17" t="n"/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</row>
    <row r="61">
      <c r="A61" s="17" t="n"/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</row>
    <row r="62">
      <c r="A62" s="17" t="n"/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</row>
    <row r="63">
      <c r="A63" s="17" t="n"/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</row>
    <row r="64">
      <c r="A64" s="17" t="n"/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</row>
    <row r="65">
      <c r="A65" s="17" t="n"/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</row>
    <row r="66">
      <c r="A66" s="17" t="n"/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</row>
    <row r="67">
      <c r="A67" s="17" t="n"/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</row>
    <row r="68">
      <c r="A68" s="17" t="n"/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</row>
    <row r="69">
      <c r="A69" s="17" t="n"/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</row>
    <row r="70">
      <c r="A70" s="17" t="n"/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</row>
    <row r="71">
      <c r="A71" s="17" t="n"/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</row>
    <row r="72">
      <c r="A72" s="17" t="n"/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</row>
    <row r="73">
      <c r="A73" s="17" t="n"/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</row>
    <row r="74">
      <c r="A74" s="17" t="n"/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</row>
    <row r="75">
      <c r="A75" s="17" t="n"/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</row>
    <row r="76">
      <c r="A76" s="17" t="n"/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</row>
    <row r="77">
      <c r="A77" s="17" t="n"/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</row>
    <row r="78">
      <c r="A78" s="17" t="n"/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</row>
    <row r="79">
      <c r="A79" s="17" t="n"/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</row>
    <row r="80">
      <c r="A80" s="17" t="n"/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</row>
    <row r="81">
      <c r="A81" s="17" t="n"/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</row>
    <row r="82">
      <c r="A82" s="17" t="n"/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</row>
    <row r="83">
      <c r="A83" s="17" t="n"/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</row>
    <row r="84">
      <c r="A84" s="17" t="n"/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</row>
    <row r="85">
      <c r="A85" s="17" t="n"/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</row>
    <row r="86">
      <c r="A86" s="17" t="n"/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</row>
    <row r="87">
      <c r="A87" s="17" t="n"/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</row>
    <row r="88">
      <c r="A88" s="17" t="n"/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</row>
    <row r="89">
      <c r="A89" s="17" t="n"/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</row>
    <row r="90">
      <c r="A90" s="17" t="n"/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</row>
    <row r="91">
      <c r="A91" s="17" t="n"/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</row>
    <row r="92">
      <c r="A92" s="17" t="n"/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</row>
    <row r="93">
      <c r="A93" s="17" t="n"/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</row>
    <row r="94">
      <c r="A94" s="17" t="n"/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</row>
    <row r="95">
      <c r="A95" s="17" t="n"/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</row>
    <row r="96">
      <c r="A96" s="17" t="n"/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</row>
    <row r="97">
      <c r="A97" s="17" t="n"/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</row>
    <row r="98">
      <c r="A98" s="17" t="n"/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</row>
    <row r="99">
      <c r="A99" s="17" t="n"/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</row>
    <row r="100">
      <c r="A100" s="17" t="n"/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</row>
    <row r="101">
      <c r="A101" s="17" t="n"/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</row>
    <row r="102">
      <c r="A102" s="17" t="n"/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</row>
    <row r="103">
      <c r="A103" s="17" t="n"/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</row>
    <row r="104">
      <c r="A104" s="17" t="n"/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</row>
    <row r="105">
      <c r="A105" s="17" t="n"/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</row>
    <row r="106">
      <c r="A106" s="17" t="n"/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</row>
    <row r="107">
      <c r="A107" s="17" t="n"/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</row>
    <row r="108">
      <c r="A108" s="17" t="n"/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</row>
    <row r="109">
      <c r="A109" s="17" t="n"/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</row>
    <row r="110">
      <c r="A110" s="17" t="n"/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</row>
    <row r="111">
      <c r="A111" s="17" t="n"/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</row>
    <row r="112">
      <c r="A112" s="17" t="n"/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</row>
    <row r="113">
      <c r="A113" s="17" t="n"/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</row>
    <row r="114">
      <c r="A114" s="17" t="n"/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</row>
    <row r="115">
      <c r="A115" s="17" t="n"/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</row>
    <row r="116">
      <c r="A116" s="17" t="n"/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</row>
    <row r="117">
      <c r="A117" s="17" t="n"/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</row>
    <row r="118">
      <c r="A118" s="17" t="n"/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</row>
    <row r="119">
      <c r="A119" s="17" t="n"/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</row>
    <row r="120">
      <c r="A120" s="17" t="n"/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</row>
    <row r="121">
      <c r="A121" s="17" t="n"/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</row>
    <row r="122">
      <c r="A122" s="17" t="n"/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</row>
    <row r="123">
      <c r="A123" s="17" t="n"/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</row>
    <row r="124">
      <c r="A124" s="17" t="n"/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</row>
    <row r="125">
      <c r="A125" s="17" t="n"/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</row>
    <row r="126">
      <c r="A126" s="17" t="n"/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</row>
    <row r="127">
      <c r="A127" s="17" t="n"/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</row>
    <row r="128">
      <c r="A128" s="17" t="n"/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</row>
    <row r="129">
      <c r="A129" s="17" t="n"/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</row>
    <row r="130">
      <c r="A130" s="17" t="n"/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</row>
    <row r="131">
      <c r="A131" s="17" t="n"/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</row>
    <row r="132">
      <c r="A132" s="17" t="n"/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</row>
    <row r="133">
      <c r="A133" s="17" t="n"/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</row>
    <row r="134">
      <c r="A134" s="17" t="n"/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</row>
    <row r="135">
      <c r="A135" s="17" t="n"/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</row>
    <row r="136">
      <c r="A136" s="17" t="n"/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</row>
    <row r="137">
      <c r="A137" s="17" t="n"/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</row>
    <row r="138">
      <c r="A138" s="17" t="n"/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</row>
    <row r="139">
      <c r="A139" s="17" t="n"/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</row>
    <row r="140">
      <c r="A140" s="17" t="n"/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</row>
    <row r="141">
      <c r="A141" s="17" t="n"/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</row>
    <row r="142">
      <c r="A142" s="17" t="n"/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</row>
    <row r="143">
      <c r="A143" s="17" t="n"/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</row>
    <row r="144">
      <c r="A144" s="17" t="n"/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</row>
    <row r="145">
      <c r="A145" s="17" t="n"/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</row>
    <row r="146">
      <c r="A146" s="17" t="n"/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</row>
    <row r="147">
      <c r="A147" s="17" t="n"/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</row>
    <row r="148">
      <c r="A148" s="17" t="n"/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</row>
    <row r="149">
      <c r="A149" s="17" t="n"/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</row>
    <row r="150">
      <c r="A150" s="17" t="n"/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</row>
    <row r="151">
      <c r="A151" s="17" t="n"/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</row>
    <row r="152">
      <c r="A152" s="17" t="n"/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</row>
    <row r="153">
      <c r="A153" s="17" t="n"/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</row>
    <row r="154">
      <c r="A154" s="17" t="n"/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</row>
    <row r="155">
      <c r="A155" s="17" t="n"/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</row>
    <row r="156">
      <c r="A156" s="17" t="n"/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</row>
    <row r="157">
      <c r="A157" s="17" t="n"/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</row>
    <row r="158">
      <c r="A158" s="17" t="n"/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</row>
    <row r="159">
      <c r="A159" s="17" t="n"/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</row>
    <row r="160">
      <c r="A160" s="17" t="n"/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</row>
    <row r="161">
      <c r="A161" s="17" t="n"/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</row>
    <row r="162">
      <c r="A162" s="17" t="n"/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</row>
    <row r="163">
      <c r="A163" s="17" t="n"/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</row>
    <row r="164">
      <c r="A164" s="17" t="n"/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</row>
    <row r="165">
      <c r="A165" s="17" t="n"/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</row>
    <row r="166">
      <c r="A166" s="17" t="n"/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</row>
    <row r="167">
      <c r="A167" s="17" t="n"/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</row>
    <row r="168">
      <c r="A168" s="17" t="n"/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</row>
    <row r="169">
      <c r="A169" s="17" t="n"/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</row>
    <row r="170">
      <c r="A170" s="17" t="n"/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</row>
    <row r="171">
      <c r="A171" s="17" t="n"/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</row>
    <row r="172">
      <c r="A172" s="17" t="n"/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</row>
    <row r="173">
      <c r="A173" s="17" t="n"/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</row>
    <row r="174">
      <c r="A174" s="17" t="n"/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</row>
    <row r="175">
      <c r="A175" s="17" t="n"/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</row>
    <row r="176">
      <c r="A176" s="17" t="n"/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</row>
    <row r="177">
      <c r="A177" s="17" t="n"/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</row>
    <row r="178">
      <c r="A178" s="17" t="n"/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</row>
    <row r="179">
      <c r="A179" s="17" t="n"/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</row>
    <row r="180">
      <c r="A180" s="17" t="n"/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</row>
    <row r="181">
      <c r="A181" s="17" t="n"/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</row>
    <row r="182">
      <c r="A182" s="17" t="n"/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</row>
    <row r="183">
      <c r="A183" s="17" t="n"/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</row>
    <row r="184">
      <c r="A184" s="17" t="n"/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</row>
    <row r="185">
      <c r="A185" s="17" t="n"/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</row>
    <row r="186">
      <c r="A186" s="17" t="n"/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</row>
    <row r="187">
      <c r="A187" s="17" t="n"/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</row>
    <row r="188">
      <c r="A188" s="17" t="n"/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</row>
    <row r="189">
      <c r="A189" s="17" t="n"/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</row>
    <row r="190">
      <c r="A190" s="17" t="n"/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</row>
    <row r="191">
      <c r="A191" s="17" t="n"/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</row>
    <row r="192">
      <c r="A192" s="17" t="n"/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</row>
    <row r="193">
      <c r="A193" s="17" t="n"/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</row>
    <row r="194">
      <c r="A194" s="17" t="n"/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</row>
    <row r="195">
      <c r="A195" s="17" t="n"/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</row>
    <row r="196">
      <c r="A196" s="17" t="n"/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</row>
    <row r="197">
      <c r="A197" s="17" t="n"/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</row>
    <row r="198">
      <c r="A198" s="17" t="n"/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</row>
    <row r="199">
      <c r="A199" s="17" t="n"/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</row>
    <row r="200">
      <c r="A200" s="17" t="n"/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00"/>
  <sheetViews>
    <sheetView workbookViewId="0">
      <selection activeCell="A1" sqref="A1"/>
    </sheetView>
  </sheetViews>
  <sheetFormatPr baseColWidth="8" defaultRowHeight="15"/>
  <cols>
    <col width="8" customWidth="1" style="72" min="1" max="1"/>
    <col width="28" customWidth="1" style="72" min="2" max="2"/>
    <col width="14" customWidth="1" style="72" min="3" max="3"/>
    <col width="28" customWidth="1" style="72" min="4" max="4"/>
    <col width="18" customWidth="1" style="72" min="5" max="5"/>
    <col width="12" customWidth="1" style="72" min="6" max="6"/>
    <col width="14" customWidth="1" style="72" min="7" max="7"/>
    <col width="16" customWidth="1" style="72" min="8" max="8"/>
    <col width="18" customWidth="1" style="72" min="9" max="9"/>
    <col width="14" customWidth="1" style="72" min="10" max="10"/>
    <col width="14" customWidth="1" style="72" min="11" max="11"/>
    <col width="15" customWidth="1" style="72" min="12" max="12"/>
    <col width="18" customWidth="1" style="72" min="13" max="13"/>
    <col width="24" customWidth="1" style="72" min="14" max="14"/>
    <col width="26" customWidth="1" style="72" min="15" max="15"/>
    <col width="24" customWidth="1" style="72" min="17" max="17"/>
    <col width="24" customWidth="1" style="72" min="18" max="18"/>
  </cols>
  <sheetData>
    <row r="1" ht="22" customHeight="1" s="72">
      <c r="A1" s="12" t="inlineStr">
        <is>
          <t>ID</t>
        </is>
      </c>
      <c r="B1" s="13" t="inlineStr">
        <is>
          <t>Nome do inscrito(a)</t>
        </is>
      </c>
      <c r="C1" s="89" t="inlineStr">
        <is>
          <t>Data de inscrição</t>
        </is>
      </c>
      <c r="D1" s="13" t="inlineStr">
        <is>
          <t>E-mail</t>
        </is>
      </c>
      <c r="E1" s="13" t="inlineStr">
        <is>
          <t>Contato</t>
        </is>
      </c>
      <c r="F1" s="13" t="inlineStr">
        <is>
          <t>Região</t>
        </is>
      </c>
      <c r="G1" s="13" t="inlineStr">
        <is>
          <t>Turma</t>
        </is>
      </c>
      <c r="H1" s="13" t="inlineStr">
        <is>
          <t>Idade</t>
        </is>
      </c>
      <c r="I1" s="13" t="inlineStr">
        <is>
          <t>Renda Familiar</t>
        </is>
      </c>
      <c r="J1" s="13" t="inlineStr">
        <is>
          <t>Equipe Example Organization</t>
        </is>
      </c>
      <c r="K1" s="89" t="inlineStr">
        <is>
          <t>Agendamento</t>
        </is>
      </c>
      <c r="L1" s="13" t="inlineStr">
        <is>
          <t>Status</t>
        </is>
      </c>
      <c r="M1" s="13" t="inlineStr">
        <is>
          <t>Motivo</t>
        </is>
      </c>
      <c r="N1" s="13" t="inlineStr">
        <is>
          <t>Comentários</t>
        </is>
      </c>
      <c r="O1" s="14" t="inlineStr">
        <is>
          <t>Pendências</t>
        </is>
      </c>
      <c r="Q1" s="82" t="inlineStr">
        <is>
          <t>Status filtrado</t>
        </is>
      </c>
      <c r="R1" s="82" t="inlineStr">
        <is>
          <t>Observação</t>
        </is>
      </c>
    </row>
    <row r="2">
      <c r="A2" s="17">
        <f>IFERROR(FILTER(Candidatos!A2:O1001,Candidatos!L2:L1001="Negado"),"")</f>
        <v/>
      </c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Q2" t="inlineStr">
        <is>
          <t>Negado</t>
        </is>
      </c>
      <c r="R2" t="inlineStr">
        <is>
          <t>Atualiza automaticamente com base na aba Candidatos.</t>
        </is>
      </c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Q3" t="inlineStr">
        <is>
          <t>Total</t>
        </is>
      </c>
      <c r="R3">
        <f>COUNTIFS(Candidatos!B2:B1001,"?*",Candidatos!L2:L1001,"Negado")</f>
        <v/>
      </c>
    </row>
    <row r="4">
      <c r="A4" s="26" t="n"/>
      <c r="B4" s="27" t="n"/>
      <c r="C4" s="17" t="n"/>
      <c r="D4" s="17" t="n"/>
      <c r="E4" s="17" t="n"/>
      <c r="F4" s="17" t="n"/>
      <c r="G4" s="17" t="n"/>
      <c r="H4" s="17" t="n"/>
      <c r="I4" s="17" t="n"/>
      <c r="J4" s="17" t="n"/>
      <c r="K4" s="17" t="n"/>
      <c r="L4" s="17" t="n"/>
      <c r="M4" s="17" t="n"/>
      <c r="N4" s="17" t="n"/>
      <c r="O4" s="17" t="n"/>
    </row>
    <row r="5">
      <c r="A5" s="17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</row>
    <row r="6">
      <c r="A6" s="17" t="n"/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</row>
    <row r="7">
      <c r="A7" s="17" t="n"/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</row>
    <row r="8">
      <c r="A8" s="17" t="n"/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</row>
    <row r="46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</row>
    <row r="55">
      <c r="A55" s="17" t="n"/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</row>
    <row r="56">
      <c r="A56" s="17" t="n"/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</row>
    <row r="57">
      <c r="A57" s="17" t="n"/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</row>
    <row r="58">
      <c r="A58" s="17" t="n"/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</row>
    <row r="59">
      <c r="A59" s="17" t="n"/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</row>
    <row r="60">
      <c r="A60" s="17" t="n"/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</row>
    <row r="61">
      <c r="A61" s="17" t="n"/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</row>
    <row r="62">
      <c r="A62" s="17" t="n"/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</row>
    <row r="63">
      <c r="A63" s="17" t="n"/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</row>
    <row r="64">
      <c r="A64" s="17" t="n"/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</row>
    <row r="65">
      <c r="A65" s="17" t="n"/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</row>
    <row r="66">
      <c r="A66" s="17" t="n"/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</row>
    <row r="67">
      <c r="A67" s="17" t="n"/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</row>
    <row r="68">
      <c r="A68" s="17" t="n"/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</row>
    <row r="69">
      <c r="A69" s="17" t="n"/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</row>
    <row r="70">
      <c r="A70" s="17" t="n"/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</row>
    <row r="71">
      <c r="A71" s="17" t="n"/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</row>
    <row r="72">
      <c r="A72" s="17" t="n"/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</row>
    <row r="73">
      <c r="A73" s="17" t="n"/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</row>
    <row r="74">
      <c r="A74" s="17" t="n"/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</row>
    <row r="75">
      <c r="A75" s="17" t="n"/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</row>
    <row r="76">
      <c r="A76" s="17" t="n"/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</row>
    <row r="77">
      <c r="A77" s="17" t="n"/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</row>
    <row r="78">
      <c r="A78" s="17" t="n"/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</row>
    <row r="79">
      <c r="A79" s="17" t="n"/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</row>
    <row r="80">
      <c r="A80" s="17" t="n"/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</row>
    <row r="81">
      <c r="A81" s="17" t="n"/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</row>
    <row r="82">
      <c r="A82" s="17" t="n"/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</row>
    <row r="83">
      <c r="A83" s="17" t="n"/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</row>
    <row r="84">
      <c r="A84" s="17" t="n"/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</row>
    <row r="85">
      <c r="A85" s="17" t="n"/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</row>
    <row r="86">
      <c r="A86" s="17" t="n"/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</row>
    <row r="87">
      <c r="A87" s="17" t="n"/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</row>
    <row r="88">
      <c r="A88" s="17" t="n"/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</row>
    <row r="89">
      <c r="A89" s="17" t="n"/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</row>
    <row r="90">
      <c r="A90" s="17" t="n"/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</row>
    <row r="91">
      <c r="A91" s="17" t="n"/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</row>
    <row r="92">
      <c r="A92" s="17" t="n"/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</row>
    <row r="93">
      <c r="A93" s="17" t="n"/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</row>
    <row r="94">
      <c r="A94" s="17" t="n"/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</row>
    <row r="95">
      <c r="A95" s="17" t="n"/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</row>
    <row r="96">
      <c r="A96" s="17" t="n"/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</row>
    <row r="97">
      <c r="A97" s="17" t="n"/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</row>
    <row r="98">
      <c r="A98" s="17" t="n"/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</row>
    <row r="99">
      <c r="A99" s="17" t="n"/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</row>
    <row r="100">
      <c r="A100" s="17" t="n"/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</row>
    <row r="101">
      <c r="A101" s="17" t="n"/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</row>
    <row r="102">
      <c r="A102" s="17" t="n"/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</row>
    <row r="103">
      <c r="A103" s="17" t="n"/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</row>
    <row r="104">
      <c r="A104" s="17" t="n"/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</row>
    <row r="105">
      <c r="A105" s="17" t="n"/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</row>
    <row r="106">
      <c r="A106" s="17" t="n"/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</row>
    <row r="107">
      <c r="A107" s="17" t="n"/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</row>
    <row r="108">
      <c r="A108" s="17" t="n"/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</row>
    <row r="109">
      <c r="A109" s="17" t="n"/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</row>
    <row r="110">
      <c r="A110" s="17" t="n"/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</row>
    <row r="111">
      <c r="A111" s="17" t="n"/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</row>
    <row r="112">
      <c r="A112" s="17" t="n"/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</row>
    <row r="113">
      <c r="A113" s="17" t="n"/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</row>
    <row r="114">
      <c r="A114" s="17" t="n"/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</row>
    <row r="115">
      <c r="A115" s="17" t="n"/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</row>
    <row r="116">
      <c r="A116" s="17" t="n"/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</row>
    <row r="117">
      <c r="A117" s="17" t="n"/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</row>
    <row r="118">
      <c r="A118" s="17" t="n"/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</row>
    <row r="119">
      <c r="A119" s="17" t="n"/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</row>
    <row r="120">
      <c r="A120" s="17" t="n"/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</row>
    <row r="121">
      <c r="A121" s="17" t="n"/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</row>
    <row r="122">
      <c r="A122" s="17" t="n"/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</row>
    <row r="123">
      <c r="A123" s="17" t="n"/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</row>
    <row r="124">
      <c r="A124" s="17" t="n"/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</row>
    <row r="125">
      <c r="A125" s="17" t="n"/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</row>
    <row r="126">
      <c r="A126" s="17" t="n"/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</row>
    <row r="127">
      <c r="A127" s="17" t="n"/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</row>
    <row r="128">
      <c r="A128" s="17" t="n"/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</row>
    <row r="129">
      <c r="A129" s="17" t="n"/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</row>
    <row r="130">
      <c r="A130" s="17" t="n"/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</row>
    <row r="131">
      <c r="A131" s="17" t="n"/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</row>
    <row r="132">
      <c r="A132" s="17" t="n"/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</row>
    <row r="133">
      <c r="A133" s="17" t="n"/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</row>
    <row r="134">
      <c r="A134" s="17" t="n"/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</row>
    <row r="135">
      <c r="A135" s="17" t="n"/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</row>
    <row r="136">
      <c r="A136" s="17" t="n"/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</row>
    <row r="137">
      <c r="A137" s="17" t="n"/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</row>
    <row r="138">
      <c r="A138" s="17" t="n"/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</row>
    <row r="139">
      <c r="A139" s="17" t="n"/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</row>
    <row r="140">
      <c r="A140" s="17" t="n"/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</row>
    <row r="141">
      <c r="A141" s="17" t="n"/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</row>
    <row r="142">
      <c r="A142" s="17" t="n"/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</row>
    <row r="143">
      <c r="A143" s="17" t="n"/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</row>
    <row r="144">
      <c r="A144" s="17" t="n"/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</row>
    <row r="145">
      <c r="A145" s="17" t="n"/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</row>
    <row r="146">
      <c r="A146" s="17" t="n"/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</row>
    <row r="147">
      <c r="A147" s="17" t="n"/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</row>
    <row r="148">
      <c r="A148" s="17" t="n"/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</row>
    <row r="149">
      <c r="A149" s="17" t="n"/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</row>
    <row r="150">
      <c r="A150" s="17" t="n"/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</row>
    <row r="151">
      <c r="A151" s="17" t="n"/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</row>
    <row r="152">
      <c r="A152" s="17" t="n"/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</row>
    <row r="153">
      <c r="A153" s="17" t="n"/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</row>
    <row r="154">
      <c r="A154" s="17" t="n"/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</row>
    <row r="155">
      <c r="A155" s="17" t="n"/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</row>
    <row r="156">
      <c r="A156" s="17" t="n"/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</row>
    <row r="157">
      <c r="A157" s="17" t="n"/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</row>
    <row r="158">
      <c r="A158" s="17" t="n"/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</row>
    <row r="159">
      <c r="A159" s="17" t="n"/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</row>
    <row r="160">
      <c r="A160" s="17" t="n"/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</row>
    <row r="161">
      <c r="A161" s="17" t="n"/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</row>
    <row r="162">
      <c r="A162" s="17" t="n"/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</row>
    <row r="163">
      <c r="A163" s="17" t="n"/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</row>
    <row r="164">
      <c r="A164" s="17" t="n"/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</row>
    <row r="165">
      <c r="A165" s="17" t="n"/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</row>
    <row r="166">
      <c r="A166" s="17" t="n"/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</row>
    <row r="167">
      <c r="A167" s="17" t="n"/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</row>
    <row r="168">
      <c r="A168" s="17" t="n"/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</row>
    <row r="169">
      <c r="A169" s="17" t="n"/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</row>
    <row r="170">
      <c r="A170" s="17" t="n"/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</row>
    <row r="171">
      <c r="A171" s="17" t="n"/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</row>
    <row r="172">
      <c r="A172" s="17" t="n"/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</row>
    <row r="173">
      <c r="A173" s="17" t="n"/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</row>
    <row r="174">
      <c r="A174" s="17" t="n"/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</row>
    <row r="175">
      <c r="A175" s="17" t="n"/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</row>
    <row r="176">
      <c r="A176" s="17" t="n"/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</row>
    <row r="177">
      <c r="A177" s="17" t="n"/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</row>
    <row r="178">
      <c r="A178" s="17" t="n"/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</row>
    <row r="179">
      <c r="A179" s="17" t="n"/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</row>
    <row r="180">
      <c r="A180" s="17" t="n"/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</row>
    <row r="181">
      <c r="A181" s="17" t="n"/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</row>
    <row r="182">
      <c r="A182" s="17" t="n"/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</row>
    <row r="183">
      <c r="A183" s="17" t="n"/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</row>
    <row r="184">
      <c r="A184" s="17" t="n"/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</row>
    <row r="185">
      <c r="A185" s="17" t="n"/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</row>
    <row r="186">
      <c r="A186" s="17" t="n"/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</row>
    <row r="187">
      <c r="A187" s="17" t="n"/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</row>
    <row r="188">
      <c r="A188" s="17" t="n"/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</row>
    <row r="189">
      <c r="A189" s="17" t="n"/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</row>
    <row r="190">
      <c r="A190" s="17" t="n"/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</row>
    <row r="191">
      <c r="A191" s="17" t="n"/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</row>
    <row r="192">
      <c r="A192" s="17" t="n"/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</row>
    <row r="193">
      <c r="A193" s="17" t="n"/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</row>
    <row r="194">
      <c r="A194" s="17" t="n"/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</row>
    <row r="195">
      <c r="A195" s="17" t="n"/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</row>
    <row r="196">
      <c r="A196" s="17" t="n"/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</row>
    <row r="197">
      <c r="A197" s="17" t="n"/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</row>
    <row r="198">
      <c r="A198" s="17" t="n"/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</row>
    <row r="199">
      <c r="A199" s="17" t="n"/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</row>
    <row r="200">
      <c r="A200" s="17" t="n"/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0"/>
  <sheetViews>
    <sheetView workbookViewId="0">
      <selection activeCell="A1" sqref="A1"/>
    </sheetView>
  </sheetViews>
  <sheetFormatPr baseColWidth="8" defaultRowHeight="15"/>
  <cols>
    <col width="8" customWidth="1" style="72" min="1" max="1"/>
    <col width="28" customWidth="1" style="72" min="2" max="2"/>
    <col width="14" customWidth="1" style="72" min="3" max="3"/>
    <col width="28" customWidth="1" style="72" min="4" max="4"/>
    <col width="18" customWidth="1" style="72" min="5" max="5"/>
    <col width="12" customWidth="1" style="72" min="6" max="6"/>
    <col width="14" customWidth="1" style="72" min="7" max="7"/>
    <col width="16" customWidth="1" style="72" min="8" max="8"/>
    <col width="18" customWidth="1" style="72" min="9" max="9"/>
    <col width="14" customWidth="1" style="72" min="10" max="10"/>
    <col width="14" customWidth="1" style="72" min="11" max="11"/>
    <col width="15" customWidth="1" style="72" min="12" max="12"/>
    <col width="18" customWidth="1" style="72" min="13" max="13"/>
    <col width="24" customWidth="1" style="72" min="14" max="14"/>
    <col width="26" customWidth="1" style="72" min="15" max="15"/>
    <col width="24" customWidth="1" style="72" min="17" max="17"/>
    <col width="24" customWidth="1" style="72" min="18" max="18"/>
  </cols>
  <sheetData>
    <row r="1" ht="22" customHeight="1" s="72">
      <c r="A1" s="12" t="inlineStr">
        <is>
          <t>ID</t>
        </is>
      </c>
      <c r="B1" s="13" t="inlineStr">
        <is>
          <t>Nome do inscrito(a)</t>
        </is>
      </c>
      <c r="C1" s="89" t="inlineStr">
        <is>
          <t>Data de inscrição</t>
        </is>
      </c>
      <c r="D1" s="13" t="inlineStr">
        <is>
          <t>E-mail</t>
        </is>
      </c>
      <c r="E1" s="13" t="inlineStr">
        <is>
          <t>Contato</t>
        </is>
      </c>
      <c r="F1" s="13" t="inlineStr">
        <is>
          <t>Região</t>
        </is>
      </c>
      <c r="G1" s="13" t="inlineStr">
        <is>
          <t>Turma</t>
        </is>
      </c>
      <c r="H1" s="13" t="inlineStr">
        <is>
          <t>Idade</t>
        </is>
      </c>
      <c r="I1" s="13" t="inlineStr">
        <is>
          <t>Renda Familiar</t>
        </is>
      </c>
      <c r="J1" s="13" t="inlineStr">
        <is>
          <t>Equipe Example Organization</t>
        </is>
      </c>
      <c r="K1" s="89" t="inlineStr">
        <is>
          <t>Agendamento</t>
        </is>
      </c>
      <c r="L1" s="13" t="inlineStr">
        <is>
          <t>Status</t>
        </is>
      </c>
      <c r="M1" s="13" t="inlineStr">
        <is>
          <t>Motivo</t>
        </is>
      </c>
      <c r="N1" s="13" t="inlineStr">
        <is>
          <t>Comentários</t>
        </is>
      </c>
      <c r="O1" s="14" t="inlineStr">
        <is>
          <t>Pendências</t>
        </is>
      </c>
      <c r="Q1" s="82" t="inlineStr">
        <is>
          <t>Status filtrado</t>
        </is>
      </c>
      <c r="R1" s="82" t="inlineStr">
        <is>
          <t>Observação</t>
        </is>
      </c>
    </row>
    <row r="2">
      <c r="A2" s="17">
        <f>IFERROR(FILTER(Candidatos!A2:O1001,Candidatos!L2:L1001="Pré-aprovado"),"")</f>
        <v/>
      </c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Q2" t="inlineStr">
        <is>
          <t>Pré-aprovado</t>
        </is>
      </c>
      <c r="R2" t="inlineStr">
        <is>
          <t>Atualiza automaticamente com base na aba Candidatos.</t>
        </is>
      </c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Q3" t="inlineStr">
        <is>
          <t>Total</t>
        </is>
      </c>
      <c r="R3">
        <f>COUNTIFS(Candidatos!B2:B1001,"?*",Candidatos!L2:L1001,"Pré-aprovado")</f>
        <v/>
      </c>
    </row>
    <row r="4">
      <c r="A4" s="26" t="n"/>
      <c r="B4" s="27" t="n"/>
      <c r="C4" s="17" t="n"/>
      <c r="D4" s="17" t="n"/>
      <c r="E4" s="17" t="n"/>
      <c r="F4" s="17" t="n"/>
      <c r="G4" s="17" t="n"/>
      <c r="H4" s="17" t="n"/>
      <c r="I4" s="17" t="n"/>
      <c r="J4" s="17" t="n"/>
      <c r="K4" s="17" t="n"/>
      <c r="L4" s="17" t="n"/>
      <c r="M4" s="17" t="n"/>
      <c r="N4" s="17" t="n"/>
      <c r="O4" s="17" t="n"/>
    </row>
    <row r="5">
      <c r="A5" s="17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</row>
    <row r="6">
      <c r="A6" s="17" t="n"/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</row>
    <row r="7">
      <c r="A7" s="17" t="n"/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</row>
    <row r="8">
      <c r="A8" s="17" t="n"/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</row>
    <row r="46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</row>
    <row r="55">
      <c r="A55" s="17" t="n"/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</row>
    <row r="56">
      <c r="A56" s="17" t="n"/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</row>
    <row r="57">
      <c r="A57" s="17" t="n"/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</row>
    <row r="58">
      <c r="A58" s="17" t="n"/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</row>
    <row r="59">
      <c r="A59" s="17" t="n"/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</row>
    <row r="60">
      <c r="A60" s="17" t="n"/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</row>
    <row r="61">
      <c r="A61" s="17" t="n"/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</row>
    <row r="62">
      <c r="A62" s="17" t="n"/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</row>
    <row r="63">
      <c r="A63" s="17" t="n"/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</row>
    <row r="64">
      <c r="A64" s="17" t="n"/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</row>
    <row r="65">
      <c r="A65" s="17" t="n"/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</row>
    <row r="66">
      <c r="A66" s="17" t="n"/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</row>
    <row r="67">
      <c r="A67" s="17" t="n"/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</row>
    <row r="68">
      <c r="A68" s="17" t="n"/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</row>
    <row r="69">
      <c r="A69" s="17" t="n"/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</row>
    <row r="70">
      <c r="A70" s="17" t="n"/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</row>
    <row r="71">
      <c r="A71" s="17" t="n"/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</row>
    <row r="72">
      <c r="A72" s="17" t="n"/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</row>
    <row r="73">
      <c r="A73" s="17" t="n"/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</row>
    <row r="74">
      <c r="A74" s="17" t="n"/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</row>
    <row r="75">
      <c r="A75" s="17" t="n"/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</row>
    <row r="76">
      <c r="A76" s="17" t="n"/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</row>
    <row r="77">
      <c r="A77" s="17" t="n"/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</row>
    <row r="78">
      <c r="A78" s="17" t="n"/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</row>
    <row r="79">
      <c r="A79" s="17" t="n"/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</row>
    <row r="80">
      <c r="A80" s="17" t="n"/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</row>
    <row r="81">
      <c r="A81" s="17" t="n"/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</row>
    <row r="82">
      <c r="A82" s="17" t="n"/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</row>
    <row r="83">
      <c r="A83" s="17" t="n"/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</row>
    <row r="84">
      <c r="A84" s="17" t="n"/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</row>
    <row r="85">
      <c r="A85" s="17" t="n"/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</row>
    <row r="86">
      <c r="A86" s="17" t="n"/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</row>
    <row r="87">
      <c r="A87" s="17" t="n"/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</row>
    <row r="88">
      <c r="A88" s="17" t="n"/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</row>
    <row r="89">
      <c r="A89" s="17" t="n"/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</row>
    <row r="90">
      <c r="A90" s="17" t="n"/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</row>
    <row r="91">
      <c r="A91" s="17" t="n"/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</row>
    <row r="92">
      <c r="A92" s="17" t="n"/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</row>
    <row r="93">
      <c r="A93" s="17" t="n"/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</row>
    <row r="94">
      <c r="A94" s="17" t="n"/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</row>
    <row r="95">
      <c r="A95" s="17" t="n"/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</row>
    <row r="96">
      <c r="A96" s="17" t="n"/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</row>
    <row r="97">
      <c r="A97" s="17" t="n"/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</row>
    <row r="98">
      <c r="A98" s="17" t="n"/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</row>
    <row r="99">
      <c r="A99" s="17" t="n"/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</row>
    <row r="100">
      <c r="A100" s="17" t="n"/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</row>
    <row r="101">
      <c r="A101" s="17" t="n"/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</row>
    <row r="102">
      <c r="A102" s="17" t="n"/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</row>
    <row r="103">
      <c r="A103" s="17" t="n"/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</row>
    <row r="104">
      <c r="A104" s="17" t="n"/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</row>
    <row r="105">
      <c r="A105" s="17" t="n"/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</row>
    <row r="106">
      <c r="A106" s="17" t="n"/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</row>
    <row r="107">
      <c r="A107" s="17" t="n"/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</row>
    <row r="108">
      <c r="A108" s="17" t="n"/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</row>
    <row r="109">
      <c r="A109" s="17" t="n"/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</row>
    <row r="110">
      <c r="A110" s="17" t="n"/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</row>
    <row r="111">
      <c r="A111" s="17" t="n"/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</row>
    <row r="112">
      <c r="A112" s="17" t="n"/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</row>
    <row r="113">
      <c r="A113" s="17" t="n"/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</row>
    <row r="114">
      <c r="A114" s="17" t="n"/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</row>
    <row r="115">
      <c r="A115" s="17" t="n"/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</row>
    <row r="116">
      <c r="A116" s="17" t="n"/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</row>
    <row r="117">
      <c r="A117" s="17" t="n"/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</row>
    <row r="118">
      <c r="A118" s="17" t="n"/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</row>
    <row r="119">
      <c r="A119" s="17" t="n"/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</row>
    <row r="120">
      <c r="A120" s="17" t="n"/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</row>
    <row r="121">
      <c r="A121" s="17" t="n"/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</row>
    <row r="122">
      <c r="A122" s="17" t="n"/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</row>
    <row r="123">
      <c r="A123" s="17" t="n"/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</row>
    <row r="124">
      <c r="A124" s="17" t="n"/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</row>
    <row r="125">
      <c r="A125" s="17" t="n"/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</row>
    <row r="126">
      <c r="A126" s="17" t="n"/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</row>
    <row r="127">
      <c r="A127" s="17" t="n"/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</row>
    <row r="128">
      <c r="A128" s="17" t="n"/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</row>
    <row r="129">
      <c r="A129" s="17" t="n"/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</row>
    <row r="130">
      <c r="A130" s="17" t="n"/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</row>
    <row r="131">
      <c r="A131" s="17" t="n"/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</row>
    <row r="132">
      <c r="A132" s="17" t="n"/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</row>
    <row r="133">
      <c r="A133" s="17" t="n"/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</row>
    <row r="134">
      <c r="A134" s="17" t="n"/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</row>
    <row r="135">
      <c r="A135" s="17" t="n"/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</row>
    <row r="136">
      <c r="A136" s="17" t="n"/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</row>
    <row r="137">
      <c r="A137" s="17" t="n"/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</row>
    <row r="138">
      <c r="A138" s="17" t="n"/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</row>
    <row r="139">
      <c r="A139" s="17" t="n"/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</row>
    <row r="140">
      <c r="A140" s="17" t="n"/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</row>
    <row r="141">
      <c r="A141" s="17" t="n"/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</row>
    <row r="142">
      <c r="A142" s="17" t="n"/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</row>
    <row r="143">
      <c r="A143" s="17" t="n"/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</row>
    <row r="144">
      <c r="A144" s="17" t="n"/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</row>
    <row r="145">
      <c r="A145" s="17" t="n"/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</row>
    <row r="146">
      <c r="A146" s="17" t="n"/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</row>
    <row r="147">
      <c r="A147" s="17" t="n"/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</row>
    <row r="148">
      <c r="A148" s="17" t="n"/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</row>
    <row r="149">
      <c r="A149" s="17" t="n"/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</row>
    <row r="150">
      <c r="A150" s="17" t="n"/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</row>
    <row r="151">
      <c r="A151" s="17" t="n"/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</row>
    <row r="152">
      <c r="A152" s="17" t="n"/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</row>
    <row r="153">
      <c r="A153" s="17" t="n"/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</row>
    <row r="154">
      <c r="A154" s="17" t="n"/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</row>
    <row r="155">
      <c r="A155" s="17" t="n"/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</row>
    <row r="156">
      <c r="A156" s="17" t="n"/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</row>
    <row r="157">
      <c r="A157" s="17" t="n"/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</row>
    <row r="158">
      <c r="A158" s="17" t="n"/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</row>
    <row r="159">
      <c r="A159" s="17" t="n"/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</row>
    <row r="160">
      <c r="A160" s="17" t="n"/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</row>
    <row r="161">
      <c r="A161" s="17" t="n"/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</row>
    <row r="162">
      <c r="A162" s="17" t="n"/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</row>
    <row r="163">
      <c r="A163" s="17" t="n"/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</row>
    <row r="164">
      <c r="A164" s="17" t="n"/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</row>
    <row r="165">
      <c r="A165" s="17" t="n"/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</row>
    <row r="166">
      <c r="A166" s="17" t="n"/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</row>
    <row r="167">
      <c r="A167" s="17" t="n"/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</row>
    <row r="168">
      <c r="A168" s="17" t="n"/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</row>
    <row r="169">
      <c r="A169" s="17" t="n"/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</row>
    <row r="170">
      <c r="A170" s="17" t="n"/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</row>
    <row r="171">
      <c r="A171" s="17" t="n"/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</row>
    <row r="172">
      <c r="A172" s="17" t="n"/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</row>
    <row r="173">
      <c r="A173" s="17" t="n"/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</row>
    <row r="174">
      <c r="A174" s="17" t="n"/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</row>
    <row r="175">
      <c r="A175" s="17" t="n"/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</row>
    <row r="176">
      <c r="A176" s="17" t="n"/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</row>
    <row r="177">
      <c r="A177" s="17" t="n"/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</row>
    <row r="178">
      <c r="A178" s="17" t="n"/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</row>
    <row r="179">
      <c r="A179" s="17" t="n"/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</row>
    <row r="180">
      <c r="A180" s="17" t="n"/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</row>
    <row r="181">
      <c r="A181" s="17" t="n"/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</row>
    <row r="182">
      <c r="A182" s="17" t="n"/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</row>
    <row r="183">
      <c r="A183" s="17" t="n"/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</row>
    <row r="184">
      <c r="A184" s="17" t="n"/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</row>
    <row r="185">
      <c r="A185" s="17" t="n"/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</row>
    <row r="186">
      <c r="A186" s="17" t="n"/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</row>
    <row r="187">
      <c r="A187" s="17" t="n"/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</row>
    <row r="188">
      <c r="A188" s="17" t="n"/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</row>
    <row r="189">
      <c r="A189" s="17" t="n"/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</row>
    <row r="190">
      <c r="A190" s="17" t="n"/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</row>
    <row r="191">
      <c r="A191" s="17" t="n"/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</row>
    <row r="192">
      <c r="A192" s="17" t="n"/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</row>
    <row r="193">
      <c r="A193" s="17" t="n"/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</row>
    <row r="194">
      <c r="A194" s="17" t="n"/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</row>
    <row r="195">
      <c r="A195" s="17" t="n"/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</row>
    <row r="196">
      <c r="A196" s="17" t="n"/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</row>
    <row r="197">
      <c r="A197" s="17" t="n"/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</row>
    <row r="198">
      <c r="A198" s="17" t="n"/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</row>
    <row r="199">
      <c r="A199" s="17" t="n"/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</row>
    <row r="200">
      <c r="A200" s="17" t="n"/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00"/>
  <sheetViews>
    <sheetView workbookViewId="0">
      <selection activeCell="A1" sqref="A1"/>
    </sheetView>
  </sheetViews>
  <sheetFormatPr baseColWidth="8" defaultRowHeight="15"/>
  <cols>
    <col width="8" customWidth="1" style="72" min="1" max="1"/>
    <col width="28" customWidth="1" style="72" min="2" max="2"/>
    <col width="14" customWidth="1" style="72" min="3" max="3"/>
    <col width="28" customWidth="1" style="72" min="4" max="4"/>
    <col width="18" customWidth="1" style="72" min="5" max="5"/>
    <col width="12" customWidth="1" style="72" min="6" max="6"/>
    <col width="14" customWidth="1" style="72" min="7" max="7"/>
    <col width="16" customWidth="1" style="72" min="8" max="8"/>
    <col width="18" customWidth="1" style="72" min="9" max="9"/>
    <col width="14" customWidth="1" style="72" min="10" max="10"/>
    <col width="14" customWidth="1" style="72" min="11" max="11"/>
    <col width="15" customWidth="1" style="72" min="12" max="12"/>
    <col width="18" customWidth="1" style="72" min="13" max="13"/>
    <col width="24" customWidth="1" style="72" min="14" max="14"/>
    <col width="26" customWidth="1" style="72" min="15" max="15"/>
    <col width="24" customWidth="1" style="72" min="17" max="17"/>
    <col width="24" customWidth="1" style="72" min="18" max="18"/>
  </cols>
  <sheetData>
    <row r="1" ht="22" customHeight="1" s="72">
      <c r="A1" s="12" t="inlineStr">
        <is>
          <t>ID</t>
        </is>
      </c>
      <c r="B1" s="13" t="inlineStr">
        <is>
          <t>Nome do inscrito(a)</t>
        </is>
      </c>
      <c r="C1" s="89" t="inlineStr">
        <is>
          <t>Data de inscrição</t>
        </is>
      </c>
      <c r="D1" s="13" t="inlineStr">
        <is>
          <t>E-mail</t>
        </is>
      </c>
      <c r="E1" s="13" t="inlineStr">
        <is>
          <t>Contato</t>
        </is>
      </c>
      <c r="F1" s="13" t="inlineStr">
        <is>
          <t>Região</t>
        </is>
      </c>
      <c r="G1" s="13" t="inlineStr">
        <is>
          <t>Turma</t>
        </is>
      </c>
      <c r="H1" s="13" t="inlineStr">
        <is>
          <t>Idade</t>
        </is>
      </c>
      <c r="I1" s="13" t="inlineStr">
        <is>
          <t>Renda Familiar</t>
        </is>
      </c>
      <c r="J1" s="13" t="inlineStr">
        <is>
          <t>Equipe Example Organization</t>
        </is>
      </c>
      <c r="K1" s="89" t="inlineStr">
        <is>
          <t>Agendamento</t>
        </is>
      </c>
      <c r="L1" s="13" t="inlineStr">
        <is>
          <t>Status</t>
        </is>
      </c>
      <c r="M1" s="13" t="inlineStr">
        <is>
          <t>Motivo</t>
        </is>
      </c>
      <c r="N1" s="13" t="inlineStr">
        <is>
          <t>Comentários</t>
        </is>
      </c>
      <c r="O1" s="14" t="inlineStr">
        <is>
          <t>Pendências</t>
        </is>
      </c>
      <c r="Q1" s="82" t="inlineStr">
        <is>
          <t>Status filtrado</t>
        </is>
      </c>
      <c r="R1" s="82" t="inlineStr">
        <is>
          <t>Observação</t>
        </is>
      </c>
    </row>
    <row r="2">
      <c r="A2" s="17">
        <f>IFERROR(FILTER(Candidatos!A2:O1001,Candidatos!L2:L1001="Desistência"),"")</f>
        <v/>
      </c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Q2" t="inlineStr">
        <is>
          <t>Desistência</t>
        </is>
      </c>
      <c r="R2" t="inlineStr">
        <is>
          <t>Atualiza automaticamente com base na aba Candidatos.</t>
        </is>
      </c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Q3" t="inlineStr">
        <is>
          <t>Total</t>
        </is>
      </c>
      <c r="R3">
        <f>COUNTIFS(Candidatos!B2:B1001,"?*",Candidatos!L2:L1001,"Desistência")</f>
        <v/>
      </c>
    </row>
    <row r="4">
      <c r="A4" s="26" t="n"/>
      <c r="B4" s="27" t="n"/>
      <c r="C4" s="17" t="n"/>
      <c r="D4" s="17" t="n"/>
      <c r="E4" s="17" t="n"/>
      <c r="F4" s="17" t="n"/>
      <c r="G4" s="17" t="n"/>
      <c r="H4" s="17" t="n"/>
      <c r="I4" s="17" t="n"/>
      <c r="J4" s="17" t="n"/>
      <c r="K4" s="17" t="n"/>
      <c r="L4" s="17" t="n"/>
      <c r="M4" s="17" t="n"/>
      <c r="N4" s="17" t="n"/>
      <c r="O4" s="17" t="n"/>
    </row>
    <row r="5">
      <c r="A5" s="17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</row>
    <row r="6">
      <c r="A6" s="17" t="n"/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</row>
    <row r="7">
      <c r="A7" s="17" t="n"/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</row>
    <row r="8">
      <c r="A8" s="17" t="n"/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</row>
    <row r="46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</row>
    <row r="55">
      <c r="A55" s="17" t="n"/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</row>
    <row r="56">
      <c r="A56" s="17" t="n"/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</row>
    <row r="57">
      <c r="A57" s="17" t="n"/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</row>
    <row r="58">
      <c r="A58" s="17" t="n"/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</row>
    <row r="59">
      <c r="A59" s="17" t="n"/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</row>
    <row r="60">
      <c r="A60" s="17" t="n"/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</row>
    <row r="61">
      <c r="A61" s="17" t="n"/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</row>
    <row r="62">
      <c r="A62" s="17" t="n"/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</row>
    <row r="63">
      <c r="A63" s="17" t="n"/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</row>
    <row r="64">
      <c r="A64" s="17" t="n"/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</row>
    <row r="65">
      <c r="A65" s="17" t="n"/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</row>
    <row r="66">
      <c r="A66" s="17" t="n"/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</row>
    <row r="67">
      <c r="A67" s="17" t="n"/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</row>
    <row r="68">
      <c r="A68" s="17" t="n"/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</row>
    <row r="69">
      <c r="A69" s="17" t="n"/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</row>
    <row r="70">
      <c r="A70" s="17" t="n"/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</row>
    <row r="71">
      <c r="A71" s="17" t="n"/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</row>
    <row r="72">
      <c r="A72" s="17" t="n"/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</row>
    <row r="73">
      <c r="A73" s="17" t="n"/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</row>
    <row r="74">
      <c r="A74" s="17" t="n"/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</row>
    <row r="75">
      <c r="A75" s="17" t="n"/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</row>
    <row r="76">
      <c r="A76" s="17" t="n"/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</row>
    <row r="77">
      <c r="A77" s="17" t="n"/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</row>
    <row r="78">
      <c r="A78" s="17" t="n"/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</row>
    <row r="79">
      <c r="A79" s="17" t="n"/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</row>
    <row r="80">
      <c r="A80" s="17" t="n"/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</row>
    <row r="81">
      <c r="A81" s="17" t="n"/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</row>
    <row r="82">
      <c r="A82" s="17" t="n"/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</row>
    <row r="83">
      <c r="A83" s="17" t="n"/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</row>
    <row r="84">
      <c r="A84" s="17" t="n"/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</row>
    <row r="85">
      <c r="A85" s="17" t="n"/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</row>
    <row r="86">
      <c r="A86" s="17" t="n"/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</row>
    <row r="87">
      <c r="A87" s="17" t="n"/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</row>
    <row r="88">
      <c r="A88" s="17" t="n"/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</row>
    <row r="89">
      <c r="A89" s="17" t="n"/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</row>
    <row r="90">
      <c r="A90" s="17" t="n"/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</row>
    <row r="91">
      <c r="A91" s="17" t="n"/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</row>
    <row r="92">
      <c r="A92" s="17" t="n"/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</row>
    <row r="93">
      <c r="A93" s="17" t="n"/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</row>
    <row r="94">
      <c r="A94" s="17" t="n"/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</row>
    <row r="95">
      <c r="A95" s="17" t="n"/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</row>
    <row r="96">
      <c r="A96" s="17" t="n"/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</row>
    <row r="97">
      <c r="A97" s="17" t="n"/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</row>
    <row r="98">
      <c r="A98" s="17" t="n"/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</row>
    <row r="99">
      <c r="A99" s="17" t="n"/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</row>
    <row r="100">
      <c r="A100" s="17" t="n"/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</row>
    <row r="101">
      <c r="A101" s="17" t="n"/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</row>
    <row r="102">
      <c r="A102" s="17" t="n"/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</row>
    <row r="103">
      <c r="A103" s="17" t="n"/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</row>
    <row r="104">
      <c r="A104" s="17" t="n"/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</row>
    <row r="105">
      <c r="A105" s="17" t="n"/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</row>
    <row r="106">
      <c r="A106" s="17" t="n"/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</row>
    <row r="107">
      <c r="A107" s="17" t="n"/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</row>
    <row r="108">
      <c r="A108" s="17" t="n"/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</row>
    <row r="109">
      <c r="A109" s="17" t="n"/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</row>
    <row r="110">
      <c r="A110" s="17" t="n"/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</row>
    <row r="111">
      <c r="A111" s="17" t="n"/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</row>
    <row r="112">
      <c r="A112" s="17" t="n"/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</row>
    <row r="113">
      <c r="A113" s="17" t="n"/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</row>
    <row r="114">
      <c r="A114" s="17" t="n"/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</row>
    <row r="115">
      <c r="A115" s="17" t="n"/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</row>
    <row r="116">
      <c r="A116" s="17" t="n"/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</row>
    <row r="117">
      <c r="A117" s="17" t="n"/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</row>
    <row r="118">
      <c r="A118" s="17" t="n"/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</row>
    <row r="119">
      <c r="A119" s="17" t="n"/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</row>
    <row r="120">
      <c r="A120" s="17" t="n"/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</row>
    <row r="121">
      <c r="A121" s="17" t="n"/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</row>
    <row r="122">
      <c r="A122" s="17" t="n"/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</row>
    <row r="123">
      <c r="A123" s="17" t="n"/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</row>
    <row r="124">
      <c r="A124" s="17" t="n"/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</row>
    <row r="125">
      <c r="A125" s="17" t="n"/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</row>
    <row r="126">
      <c r="A126" s="17" t="n"/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</row>
    <row r="127">
      <c r="A127" s="17" t="n"/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</row>
    <row r="128">
      <c r="A128" s="17" t="n"/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</row>
    <row r="129">
      <c r="A129" s="17" t="n"/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</row>
    <row r="130">
      <c r="A130" s="17" t="n"/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</row>
    <row r="131">
      <c r="A131" s="17" t="n"/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</row>
    <row r="132">
      <c r="A132" s="17" t="n"/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</row>
    <row r="133">
      <c r="A133" s="17" t="n"/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</row>
    <row r="134">
      <c r="A134" s="17" t="n"/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</row>
    <row r="135">
      <c r="A135" s="17" t="n"/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</row>
    <row r="136">
      <c r="A136" s="17" t="n"/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</row>
    <row r="137">
      <c r="A137" s="17" t="n"/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</row>
    <row r="138">
      <c r="A138" s="17" t="n"/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</row>
    <row r="139">
      <c r="A139" s="17" t="n"/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</row>
    <row r="140">
      <c r="A140" s="17" t="n"/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</row>
    <row r="141">
      <c r="A141" s="17" t="n"/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</row>
    <row r="142">
      <c r="A142" s="17" t="n"/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</row>
    <row r="143">
      <c r="A143" s="17" t="n"/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</row>
    <row r="144">
      <c r="A144" s="17" t="n"/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</row>
    <row r="145">
      <c r="A145" s="17" t="n"/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</row>
    <row r="146">
      <c r="A146" s="17" t="n"/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</row>
    <row r="147">
      <c r="A147" s="17" t="n"/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</row>
    <row r="148">
      <c r="A148" s="17" t="n"/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</row>
    <row r="149">
      <c r="A149" s="17" t="n"/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</row>
    <row r="150">
      <c r="A150" s="17" t="n"/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</row>
    <row r="151">
      <c r="A151" s="17" t="n"/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</row>
    <row r="152">
      <c r="A152" s="17" t="n"/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</row>
    <row r="153">
      <c r="A153" s="17" t="n"/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</row>
    <row r="154">
      <c r="A154" s="17" t="n"/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</row>
    <row r="155">
      <c r="A155" s="17" t="n"/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</row>
    <row r="156">
      <c r="A156" s="17" t="n"/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</row>
    <row r="157">
      <c r="A157" s="17" t="n"/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</row>
    <row r="158">
      <c r="A158" s="17" t="n"/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</row>
    <row r="159">
      <c r="A159" s="17" t="n"/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</row>
    <row r="160">
      <c r="A160" s="17" t="n"/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</row>
    <row r="161">
      <c r="A161" s="17" t="n"/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</row>
    <row r="162">
      <c r="A162" s="17" t="n"/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</row>
    <row r="163">
      <c r="A163" s="17" t="n"/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</row>
    <row r="164">
      <c r="A164" s="17" t="n"/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</row>
    <row r="165">
      <c r="A165" s="17" t="n"/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</row>
    <row r="166">
      <c r="A166" s="17" t="n"/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</row>
    <row r="167">
      <c r="A167" s="17" t="n"/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</row>
    <row r="168">
      <c r="A168" s="17" t="n"/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</row>
    <row r="169">
      <c r="A169" s="17" t="n"/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</row>
    <row r="170">
      <c r="A170" s="17" t="n"/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</row>
    <row r="171">
      <c r="A171" s="17" t="n"/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</row>
    <row r="172">
      <c r="A172" s="17" t="n"/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</row>
    <row r="173">
      <c r="A173" s="17" t="n"/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</row>
    <row r="174">
      <c r="A174" s="17" t="n"/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</row>
    <row r="175">
      <c r="A175" s="17" t="n"/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</row>
    <row r="176">
      <c r="A176" s="17" t="n"/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</row>
    <row r="177">
      <c r="A177" s="17" t="n"/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</row>
    <row r="178">
      <c r="A178" s="17" t="n"/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</row>
    <row r="179">
      <c r="A179" s="17" t="n"/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</row>
    <row r="180">
      <c r="A180" s="17" t="n"/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</row>
    <row r="181">
      <c r="A181" s="17" t="n"/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</row>
    <row r="182">
      <c r="A182" s="17" t="n"/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</row>
    <row r="183">
      <c r="A183" s="17" t="n"/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</row>
    <row r="184">
      <c r="A184" s="17" t="n"/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</row>
    <row r="185">
      <c r="A185" s="17" t="n"/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</row>
    <row r="186">
      <c r="A186" s="17" t="n"/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</row>
    <row r="187">
      <c r="A187" s="17" t="n"/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</row>
    <row r="188">
      <c r="A188" s="17" t="n"/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</row>
    <row r="189">
      <c r="A189" s="17" t="n"/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</row>
    <row r="190">
      <c r="A190" s="17" t="n"/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</row>
    <row r="191">
      <c r="A191" s="17" t="n"/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</row>
    <row r="192">
      <c r="A192" s="17" t="n"/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</row>
    <row r="193">
      <c r="A193" s="17" t="n"/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</row>
    <row r="194">
      <c r="A194" s="17" t="n"/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</row>
    <row r="195">
      <c r="A195" s="17" t="n"/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</row>
    <row r="196">
      <c r="A196" s="17" t="n"/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</row>
    <row r="197">
      <c r="A197" s="17" t="n"/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</row>
    <row r="198">
      <c r="A198" s="17" t="n"/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</row>
    <row r="199">
      <c r="A199" s="17" t="n"/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</row>
    <row r="200">
      <c r="A200" s="17" t="n"/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cols>
    <col width="14" customWidth="1" style="72" min="1" max="1"/>
    <col width="28" customWidth="1" style="72" min="2" max="2"/>
    <col width="18" customWidth="1" style="72" min="3" max="3"/>
    <col width="28" customWidth="1" style="72" min="4" max="4"/>
    <col width="18" customWidth="1" style="72" min="5" max="5"/>
    <col width="12" customWidth="1" style="72" min="6" max="6"/>
    <col width="14" customWidth="1" style="72" min="7" max="7"/>
    <col width="20" customWidth="1" style="72" min="8" max="8"/>
    <col width="16" customWidth="1" style="72" min="10" max="10"/>
    <col width="44" customWidth="1" style="72" min="11" max="11"/>
  </cols>
  <sheetData>
    <row r="1" ht="22" customHeight="1" s="72">
      <c r="A1" s="12" t="inlineStr">
        <is>
          <t>Data de inscrição</t>
        </is>
      </c>
      <c r="B1" s="13" t="inlineStr">
        <is>
          <t>Nome do inscrito(a)</t>
        </is>
      </c>
      <c r="C1" s="13" t="inlineStr">
        <is>
          <t>Idade</t>
        </is>
      </c>
      <c r="D1" s="13" t="inlineStr">
        <is>
          <t>E-mail</t>
        </is>
      </c>
      <c r="E1" s="13" t="inlineStr">
        <is>
          <t>Celular/WhatsApp</t>
        </is>
      </c>
      <c r="F1" s="13" t="inlineStr">
        <is>
          <t>Região</t>
        </is>
      </c>
      <c r="G1" s="13" t="inlineStr">
        <is>
          <t>Turma</t>
        </is>
      </c>
      <c r="H1" s="14" t="inlineStr">
        <is>
          <t>Renda Familiar</t>
        </is>
      </c>
      <c r="J1" s="26" t="inlineStr">
        <is>
          <t>Orientação</t>
        </is>
      </c>
      <c r="K1" s="27" t="inlineStr">
        <is>
          <t>Descrição</t>
        </is>
      </c>
    </row>
    <row r="2">
      <c r="A2" s="90" t="n">
        <v>46029</v>
      </c>
      <c r="B2" s="28" t="inlineStr">
        <is>
          <t>Person 001</t>
        </is>
      </c>
      <c r="C2" s="28" t="n">
        <v>19</v>
      </c>
      <c r="D2" s="28" t="inlineStr">
        <is>
          <t>person001@example.invalid</t>
        </is>
      </c>
      <c r="E2" s="28" t="inlineStr">
        <is>
          <t>+55 00 90000-0001</t>
        </is>
      </c>
      <c r="F2" s="28" t="inlineStr">
        <is>
          <t>SP</t>
        </is>
      </c>
      <c r="G2" s="28" t="inlineStr">
        <is>
          <t>Online Morning</t>
        </is>
      </c>
      <c r="H2" s="28" t="inlineStr">
        <is>
          <t>Up to 1 minimum wage</t>
        </is>
      </c>
      <c r="J2" s="17" t="inlineStr">
        <is>
          <t>Preenchimento</t>
        </is>
      </c>
      <c r="K2" s="17" t="inlineStr">
        <is>
          <t>Preencha apenas as colunas A:H nesta aba.</t>
        </is>
      </c>
    </row>
    <row r="3">
      <c r="A3" s="90" t="n">
        <v>46031</v>
      </c>
      <c r="B3" s="28" t="inlineStr">
        <is>
          <t>Person 002</t>
        </is>
      </c>
      <c r="C3" s="28" t="n">
        <v>22</v>
      </c>
      <c r="D3" s="28" t="inlineStr">
        <is>
          <t>person002@example.invalid</t>
        </is>
      </c>
      <c r="E3" s="28" t="inlineStr">
        <is>
          <t>+55 00 90000-0002</t>
        </is>
      </c>
      <c r="F3" s="28" t="inlineStr">
        <is>
          <t>RJ</t>
        </is>
      </c>
      <c r="G3" s="28" t="inlineStr">
        <is>
          <t>Online Evening</t>
        </is>
      </c>
      <c r="H3" s="28" t="inlineStr">
        <is>
          <t>1 to 2 minimum wages</t>
        </is>
      </c>
      <c r="J3" s="17" t="inlineStr">
        <is>
          <t>Padronização</t>
        </is>
      </c>
      <c r="K3" s="17" t="inlineStr">
        <is>
          <t>Região, turma e renda possuem listas suspensas.</t>
        </is>
      </c>
    </row>
    <row r="4">
      <c r="A4" s="90" t="n">
        <v>46033</v>
      </c>
      <c r="B4" s="28" t="inlineStr">
        <is>
          <t>Person 003</t>
        </is>
      </c>
      <c r="C4" s="28" t="n">
        <v>25</v>
      </c>
      <c r="D4" s="28" t="inlineStr">
        <is>
          <t>person003@example.invalid</t>
        </is>
      </c>
      <c r="E4" s="28" t="inlineStr">
        <is>
          <t>+55 00 90000-0003</t>
        </is>
      </c>
      <c r="F4" s="28" t="inlineStr">
        <is>
          <t>MG</t>
        </is>
      </c>
      <c r="G4" s="28" t="inlineStr">
        <is>
          <t>In Person</t>
        </is>
      </c>
      <c r="H4" s="28" t="inlineStr">
        <is>
          <t>2 to 3 minimum wages</t>
        </is>
      </c>
      <c r="J4" s="17" t="inlineStr">
        <is>
          <t>Fluxo</t>
        </is>
      </c>
      <c r="K4" s="17" t="inlineStr">
        <is>
          <t>A aba Candidatos puxará os dados automaticamente.</t>
        </is>
      </c>
    </row>
    <row r="5">
      <c r="A5" s="90" t="n">
        <v>46035</v>
      </c>
      <c r="B5" s="28" t="inlineStr">
        <is>
          <t>Person 004</t>
        </is>
      </c>
      <c r="C5" s="28" t="n">
        <v>28</v>
      </c>
      <c r="D5" s="28" t="inlineStr">
        <is>
          <t>person004@example.invalid</t>
        </is>
      </c>
      <c r="E5" s="28" t="inlineStr">
        <is>
          <t>+55 00 90000-0004</t>
        </is>
      </c>
      <c r="F5" s="28" t="inlineStr">
        <is>
          <t>BA</t>
        </is>
      </c>
      <c r="G5" s="28" t="inlineStr">
        <is>
          <t>Online Morning</t>
        </is>
      </c>
      <c r="H5" s="28" t="inlineStr">
        <is>
          <t>Above 3 minimum wages</t>
        </is>
      </c>
    </row>
    <row r="6">
      <c r="A6" s="90" t="n">
        <v>46037</v>
      </c>
      <c r="B6" s="28" t="inlineStr">
        <is>
          <t>Person 005</t>
        </is>
      </c>
      <c r="C6" s="28" t="n">
        <v>31</v>
      </c>
      <c r="D6" s="28" t="inlineStr">
        <is>
          <t>person005@example.invalid</t>
        </is>
      </c>
      <c r="E6" s="28" t="inlineStr">
        <is>
          <t>+55 00 90000-0005</t>
        </is>
      </c>
      <c r="F6" s="28" t="inlineStr">
        <is>
          <t>PR</t>
        </is>
      </c>
      <c r="G6" s="28" t="inlineStr">
        <is>
          <t>Online Evening</t>
        </is>
      </c>
      <c r="H6" s="28" t="inlineStr">
        <is>
          <t>Not provided</t>
        </is>
      </c>
    </row>
    <row r="7">
      <c r="A7" s="90" t="n">
        <v>46039</v>
      </c>
      <c r="B7" s="28" t="inlineStr">
        <is>
          <t>Person 006</t>
        </is>
      </c>
      <c r="C7" s="28" t="n">
        <v>34</v>
      </c>
      <c r="D7" s="28" t="inlineStr">
        <is>
          <t>person006@example.invalid</t>
        </is>
      </c>
      <c r="E7" s="28" t="inlineStr">
        <is>
          <t>+55 00 90000-0006</t>
        </is>
      </c>
      <c r="F7" s="28" t="inlineStr">
        <is>
          <t>PE</t>
        </is>
      </c>
      <c r="G7" s="28" t="inlineStr">
        <is>
          <t>In Person</t>
        </is>
      </c>
      <c r="H7" s="28" t="inlineStr">
        <is>
          <t>Up to 1 minimum wage</t>
        </is>
      </c>
    </row>
    <row r="8">
      <c r="A8" s="90" t="n">
        <v>46041</v>
      </c>
      <c r="B8" s="28" t="inlineStr">
        <is>
          <t>Person 007</t>
        </is>
      </c>
      <c r="C8" s="28" t="n">
        <v>37</v>
      </c>
      <c r="D8" s="28" t="inlineStr">
        <is>
          <t>person007@example.invalid</t>
        </is>
      </c>
      <c r="E8" s="28" t="inlineStr">
        <is>
          <t>+55 00 90000-0007</t>
        </is>
      </c>
      <c r="F8" s="28" t="inlineStr">
        <is>
          <t>SP</t>
        </is>
      </c>
      <c r="G8" s="28" t="inlineStr">
        <is>
          <t>Online Morning</t>
        </is>
      </c>
      <c r="H8" s="28" t="inlineStr">
        <is>
          <t>1 to 2 minimum wages</t>
        </is>
      </c>
    </row>
    <row r="9">
      <c r="A9" s="90" t="n">
        <v>46043</v>
      </c>
      <c r="B9" s="28" t="inlineStr">
        <is>
          <t>Person 008</t>
        </is>
      </c>
      <c r="C9" s="28" t="n">
        <v>40</v>
      </c>
      <c r="D9" s="28" t="inlineStr">
        <is>
          <t>person008@example.invalid</t>
        </is>
      </c>
      <c r="E9" s="28" t="inlineStr">
        <is>
          <t>+55 00 90000-0008</t>
        </is>
      </c>
      <c r="F9" s="28" t="inlineStr">
        <is>
          <t>RJ</t>
        </is>
      </c>
      <c r="G9" s="28" t="inlineStr">
        <is>
          <t>Online Evening</t>
        </is>
      </c>
      <c r="H9" s="28" t="inlineStr">
        <is>
          <t>2 to 3 minimum wages</t>
        </is>
      </c>
    </row>
    <row r="10">
      <c r="A10" s="90" t="n">
        <v>46045</v>
      </c>
      <c r="B10" s="28" t="inlineStr">
        <is>
          <t>Person 009</t>
        </is>
      </c>
      <c r="C10" s="28" t="n">
        <v>43</v>
      </c>
      <c r="D10" s="28" t="inlineStr">
        <is>
          <t>person009@example.invalid</t>
        </is>
      </c>
      <c r="E10" s="28" t="inlineStr">
        <is>
          <t>+55 00 90000-0009</t>
        </is>
      </c>
      <c r="F10" s="28" t="inlineStr">
        <is>
          <t>MG</t>
        </is>
      </c>
      <c r="G10" s="28" t="inlineStr">
        <is>
          <t>In Person</t>
        </is>
      </c>
      <c r="H10" s="28" t="inlineStr">
        <is>
          <t>Above 3 minimum wages</t>
        </is>
      </c>
    </row>
    <row r="11">
      <c r="A11" s="90" t="n">
        <v>46047</v>
      </c>
      <c r="B11" s="28" t="inlineStr">
        <is>
          <t>Person 010</t>
        </is>
      </c>
      <c r="C11" s="28" t="n">
        <v>46</v>
      </c>
      <c r="D11" s="28" t="inlineStr">
        <is>
          <t>person010@example.invalid</t>
        </is>
      </c>
      <c r="E11" s="28" t="inlineStr">
        <is>
          <t>+55 00 90000-0010</t>
        </is>
      </c>
      <c r="F11" s="28" t="inlineStr">
        <is>
          <t>BA</t>
        </is>
      </c>
      <c r="G11" s="28" t="inlineStr">
        <is>
          <t>Online Morning</t>
        </is>
      </c>
      <c r="H11" s="28" t="inlineStr">
        <is>
          <t>Not provided</t>
        </is>
      </c>
    </row>
    <row r="12">
      <c r="A12" s="90" t="n">
        <v>46049</v>
      </c>
      <c r="B12" s="28" t="inlineStr">
        <is>
          <t>Person 011</t>
        </is>
      </c>
      <c r="C12" s="28" t="n">
        <v>49</v>
      </c>
      <c r="D12" s="28" t="inlineStr">
        <is>
          <t>person011@example.invalid</t>
        </is>
      </c>
      <c r="E12" s="28" t="inlineStr">
        <is>
          <t>+55 00 90000-0011</t>
        </is>
      </c>
      <c r="F12" s="28" t="inlineStr">
        <is>
          <t>PR</t>
        </is>
      </c>
      <c r="G12" s="28" t="inlineStr">
        <is>
          <t>Online Evening</t>
        </is>
      </c>
      <c r="H12" s="28" t="inlineStr">
        <is>
          <t>Up to 1 minimum wage</t>
        </is>
      </c>
    </row>
    <row r="13">
      <c r="A13" s="90" t="n">
        <v>46051</v>
      </c>
      <c r="B13" s="28" t="inlineStr">
        <is>
          <t>Person 012</t>
        </is>
      </c>
      <c r="C13" s="28" t="n">
        <v>52</v>
      </c>
      <c r="D13" s="28" t="inlineStr">
        <is>
          <t>person012@example.invalid</t>
        </is>
      </c>
      <c r="E13" s="28" t="inlineStr">
        <is>
          <t>+55 00 90000-0012</t>
        </is>
      </c>
      <c r="F13" s="28" t="inlineStr">
        <is>
          <t>PE</t>
        </is>
      </c>
      <c r="G13" s="28" t="inlineStr">
        <is>
          <t>In Person</t>
        </is>
      </c>
      <c r="H13" s="28" t="inlineStr">
        <is>
          <t>1 to 2 minimum wages</t>
        </is>
      </c>
    </row>
    <row r="14">
      <c r="A14" s="90" t="n">
        <v>46053</v>
      </c>
      <c r="B14" s="28" t="inlineStr">
        <is>
          <t>Person 013</t>
        </is>
      </c>
      <c r="C14" s="28" t="n">
        <v>16</v>
      </c>
      <c r="D14" s="28" t="inlineStr">
        <is>
          <t>person013@example.invalid</t>
        </is>
      </c>
      <c r="E14" s="28" t="inlineStr">
        <is>
          <t>+55 00 90000-0013</t>
        </is>
      </c>
      <c r="F14" s="28" t="inlineStr">
        <is>
          <t>SP</t>
        </is>
      </c>
      <c r="G14" s="28" t="inlineStr">
        <is>
          <t>Online Morning</t>
        </is>
      </c>
      <c r="H14" s="28" t="inlineStr">
        <is>
          <t>2 to 3 minimum wages</t>
        </is>
      </c>
    </row>
    <row r="15">
      <c r="A15" s="90" t="n">
        <v>46055</v>
      </c>
      <c r="B15" s="28" t="inlineStr">
        <is>
          <t>Person 014</t>
        </is>
      </c>
      <c r="C15" s="28" t="n">
        <v>19</v>
      </c>
      <c r="D15" s="28" t="inlineStr">
        <is>
          <t>person014@example.invalid</t>
        </is>
      </c>
      <c r="E15" s="28" t="inlineStr">
        <is>
          <t>+55 00 90000-0014</t>
        </is>
      </c>
      <c r="F15" s="28" t="inlineStr">
        <is>
          <t>RJ</t>
        </is>
      </c>
      <c r="G15" s="28" t="inlineStr">
        <is>
          <t>Online Evening</t>
        </is>
      </c>
      <c r="H15" s="28" t="inlineStr">
        <is>
          <t>Above 3 minimum wages</t>
        </is>
      </c>
    </row>
    <row r="16">
      <c r="A16" s="90" t="n">
        <v>46057</v>
      </c>
      <c r="B16" s="28" t="inlineStr">
        <is>
          <t>Person 015</t>
        </is>
      </c>
      <c r="C16" s="28" t="n">
        <v>22</v>
      </c>
      <c r="D16" s="28" t="inlineStr">
        <is>
          <t>person015@example.invalid</t>
        </is>
      </c>
      <c r="E16" s="28" t="inlineStr">
        <is>
          <t>+55 00 90000-0015</t>
        </is>
      </c>
      <c r="F16" s="28" t="inlineStr">
        <is>
          <t>MG</t>
        </is>
      </c>
      <c r="G16" s="28" t="inlineStr">
        <is>
          <t>In Person</t>
        </is>
      </c>
      <c r="H16" s="28" t="inlineStr">
        <is>
          <t>Not provided</t>
        </is>
      </c>
    </row>
    <row r="17">
      <c r="A17" s="90" t="n">
        <v>46059</v>
      </c>
      <c r="B17" s="28" t="inlineStr">
        <is>
          <t>Person 016</t>
        </is>
      </c>
      <c r="C17" s="28" t="n">
        <v>25</v>
      </c>
      <c r="D17" s="28" t="inlineStr">
        <is>
          <t>person016@example.invalid</t>
        </is>
      </c>
      <c r="E17" s="28" t="inlineStr">
        <is>
          <t>+55 00 90000-0016</t>
        </is>
      </c>
      <c r="F17" s="28" t="inlineStr">
        <is>
          <t>BA</t>
        </is>
      </c>
      <c r="G17" s="28" t="inlineStr">
        <is>
          <t>Online Morning</t>
        </is>
      </c>
      <c r="H17" s="28" t="inlineStr">
        <is>
          <t>Up to 1 minimum wage</t>
        </is>
      </c>
    </row>
    <row r="18">
      <c r="A18" s="90" t="n">
        <v>46061</v>
      </c>
      <c r="B18" s="28" t="inlineStr">
        <is>
          <t>Person 017</t>
        </is>
      </c>
      <c r="C18" s="28" t="n">
        <v>28</v>
      </c>
      <c r="D18" s="28" t="inlineStr">
        <is>
          <t>person017@example.invalid</t>
        </is>
      </c>
      <c r="E18" s="28" t="inlineStr">
        <is>
          <t>+55 00 90000-0017</t>
        </is>
      </c>
      <c r="F18" s="28" t="inlineStr">
        <is>
          <t>PR</t>
        </is>
      </c>
      <c r="G18" s="28" t="inlineStr">
        <is>
          <t>Online Evening</t>
        </is>
      </c>
      <c r="H18" s="28" t="inlineStr">
        <is>
          <t>1 to 2 minimum wages</t>
        </is>
      </c>
    </row>
    <row r="19">
      <c r="A19" s="90" t="n">
        <v>46063</v>
      </c>
      <c r="B19" s="28" t="inlineStr">
        <is>
          <t>Person 018</t>
        </is>
      </c>
      <c r="C19" s="28" t="n">
        <v>31</v>
      </c>
      <c r="D19" s="28" t="inlineStr">
        <is>
          <t>person018@example.invalid</t>
        </is>
      </c>
      <c r="E19" s="28" t="inlineStr">
        <is>
          <t>+55 00 90000-0018</t>
        </is>
      </c>
      <c r="F19" s="28" t="inlineStr">
        <is>
          <t>PE</t>
        </is>
      </c>
      <c r="G19" s="28" t="inlineStr">
        <is>
          <t>In Person</t>
        </is>
      </c>
      <c r="H19" s="28" t="inlineStr">
        <is>
          <t>2 to 3 minimum wages</t>
        </is>
      </c>
    </row>
    <row r="20">
      <c r="A20" s="90" t="n">
        <v>46065</v>
      </c>
      <c r="B20" s="28" t="inlineStr">
        <is>
          <t>Person 019</t>
        </is>
      </c>
      <c r="C20" s="28" t="n">
        <v>34</v>
      </c>
      <c r="D20" s="28" t="inlineStr">
        <is>
          <t>person019@example.invalid</t>
        </is>
      </c>
      <c r="E20" s="28" t="inlineStr">
        <is>
          <t>+55 00 90000-0019</t>
        </is>
      </c>
      <c r="F20" s="28" t="inlineStr">
        <is>
          <t>SP</t>
        </is>
      </c>
      <c r="G20" s="28" t="inlineStr">
        <is>
          <t>Online Morning</t>
        </is>
      </c>
      <c r="H20" s="28" t="inlineStr">
        <is>
          <t>Above 3 minimum wages</t>
        </is>
      </c>
    </row>
    <row r="21">
      <c r="A21" s="90" t="n">
        <v>46067</v>
      </c>
      <c r="B21" s="28" t="inlineStr">
        <is>
          <t>Person 020</t>
        </is>
      </c>
      <c r="C21" s="28" t="n">
        <v>37</v>
      </c>
      <c r="D21" s="28" t="inlineStr">
        <is>
          <t>person020@example.invalid</t>
        </is>
      </c>
      <c r="E21" s="28" t="inlineStr">
        <is>
          <t>+55 00 90000-0020</t>
        </is>
      </c>
      <c r="F21" s="28" t="inlineStr">
        <is>
          <t>RJ</t>
        </is>
      </c>
      <c r="G21" s="28" t="inlineStr">
        <is>
          <t>Online Evening</t>
        </is>
      </c>
      <c r="H21" s="28" t="inlineStr">
        <is>
          <t>Not provided</t>
        </is>
      </c>
    </row>
    <row r="22">
      <c r="A22" s="90" t="n">
        <v>46069</v>
      </c>
      <c r="B22" s="28" t="inlineStr">
        <is>
          <t>Person 021</t>
        </is>
      </c>
      <c r="C22" s="28" t="n">
        <v>40</v>
      </c>
      <c r="D22" s="28" t="inlineStr">
        <is>
          <t>person021@example.invalid</t>
        </is>
      </c>
      <c r="E22" s="28" t="inlineStr">
        <is>
          <t>+55 00 90000-0021</t>
        </is>
      </c>
      <c r="F22" s="28" t="inlineStr">
        <is>
          <t>MG</t>
        </is>
      </c>
      <c r="G22" s="28" t="inlineStr">
        <is>
          <t>In Person</t>
        </is>
      </c>
      <c r="H22" s="28" t="inlineStr">
        <is>
          <t>Up to 1 minimum wage</t>
        </is>
      </c>
    </row>
    <row r="23">
      <c r="A23" s="90" t="n">
        <v>46071</v>
      </c>
      <c r="B23" s="28" t="inlineStr">
        <is>
          <t>Person 022</t>
        </is>
      </c>
      <c r="C23" s="28" t="n">
        <v>43</v>
      </c>
      <c r="D23" s="28" t="inlineStr">
        <is>
          <t>person022@example.invalid</t>
        </is>
      </c>
      <c r="E23" s="28" t="inlineStr">
        <is>
          <t>+55 00 90000-0022</t>
        </is>
      </c>
      <c r="F23" s="28" t="inlineStr">
        <is>
          <t>BA</t>
        </is>
      </c>
      <c r="G23" s="28" t="inlineStr">
        <is>
          <t>Online Morning</t>
        </is>
      </c>
      <c r="H23" s="28" t="inlineStr">
        <is>
          <t>1 to 2 minimum wages</t>
        </is>
      </c>
    </row>
    <row r="24">
      <c r="A24" s="90" t="n">
        <v>46073</v>
      </c>
      <c r="B24" s="28" t="inlineStr">
        <is>
          <t>Person 023</t>
        </is>
      </c>
      <c r="C24" s="28" t="n">
        <v>46</v>
      </c>
      <c r="D24" s="28" t="inlineStr">
        <is>
          <t>person023@example.invalid</t>
        </is>
      </c>
      <c r="E24" s="28" t="inlineStr">
        <is>
          <t>+55 00 90000-0023</t>
        </is>
      </c>
      <c r="F24" s="28" t="inlineStr">
        <is>
          <t>PR</t>
        </is>
      </c>
      <c r="G24" s="28" t="inlineStr">
        <is>
          <t>Online Evening</t>
        </is>
      </c>
      <c r="H24" s="28" t="inlineStr">
        <is>
          <t>2 to 3 minimum wages</t>
        </is>
      </c>
    </row>
    <row r="25">
      <c r="A25" s="90" t="n">
        <v>46075</v>
      </c>
      <c r="B25" s="28" t="inlineStr">
        <is>
          <t>Person 024</t>
        </is>
      </c>
      <c r="C25" s="28" t="n">
        <v>49</v>
      </c>
      <c r="D25" s="28" t="inlineStr">
        <is>
          <t>person024@example.invalid</t>
        </is>
      </c>
      <c r="E25" s="28" t="inlineStr">
        <is>
          <t>+55 00 90000-0024</t>
        </is>
      </c>
      <c r="F25" s="28" t="inlineStr">
        <is>
          <t>PE</t>
        </is>
      </c>
      <c r="G25" s="28" t="inlineStr">
        <is>
          <t>In Person</t>
        </is>
      </c>
      <c r="H25" s="28" t="inlineStr">
        <is>
          <t>Above 3 minimum wages</t>
        </is>
      </c>
    </row>
    <row r="26">
      <c r="A26" s="90" t="n">
        <v>46077</v>
      </c>
      <c r="B26" s="28" t="inlineStr">
        <is>
          <t>Person 025</t>
        </is>
      </c>
      <c r="C26" s="28" t="n">
        <v>52</v>
      </c>
      <c r="D26" s="28" t="inlineStr">
        <is>
          <t>person025@example.invalid</t>
        </is>
      </c>
      <c r="E26" s="28" t="inlineStr">
        <is>
          <t>+55 00 90000-0025</t>
        </is>
      </c>
      <c r="F26" s="28" t="inlineStr">
        <is>
          <t>SP</t>
        </is>
      </c>
      <c r="G26" s="28" t="inlineStr">
        <is>
          <t>Online Morning</t>
        </is>
      </c>
      <c r="H26" s="28" t="inlineStr">
        <is>
          <t>Not provided</t>
        </is>
      </c>
    </row>
    <row r="27">
      <c r="A27" s="90" t="n">
        <v>46079</v>
      </c>
      <c r="B27" s="28" t="inlineStr">
        <is>
          <t>Person 026</t>
        </is>
      </c>
      <c r="C27" s="28" t="n">
        <v>16</v>
      </c>
      <c r="D27" s="28" t="inlineStr">
        <is>
          <t>person026@example.invalid</t>
        </is>
      </c>
      <c r="E27" s="28" t="inlineStr">
        <is>
          <t>+55 00 90000-0026</t>
        </is>
      </c>
      <c r="F27" s="28" t="inlineStr">
        <is>
          <t>RJ</t>
        </is>
      </c>
      <c r="G27" s="28" t="inlineStr">
        <is>
          <t>Online Evening</t>
        </is>
      </c>
      <c r="H27" s="28" t="inlineStr">
        <is>
          <t>Up to 1 minimum wage</t>
        </is>
      </c>
    </row>
    <row r="28">
      <c r="A28" s="90" t="n">
        <v>46081</v>
      </c>
      <c r="B28" s="28" t="inlineStr">
        <is>
          <t>Person 027</t>
        </is>
      </c>
      <c r="C28" s="28" t="n">
        <v>19</v>
      </c>
      <c r="D28" s="28" t="inlineStr">
        <is>
          <t>person027@example.invalid</t>
        </is>
      </c>
      <c r="E28" s="28" t="inlineStr">
        <is>
          <t>+55 00 90000-0027</t>
        </is>
      </c>
      <c r="F28" s="28" t="inlineStr">
        <is>
          <t>MG</t>
        </is>
      </c>
      <c r="G28" s="28" t="inlineStr">
        <is>
          <t>In Person</t>
        </is>
      </c>
      <c r="H28" s="28" t="inlineStr">
        <is>
          <t>1 to 2 minimum wages</t>
        </is>
      </c>
    </row>
    <row r="29">
      <c r="A29" s="90" t="n">
        <v>46083</v>
      </c>
      <c r="B29" s="28" t="inlineStr">
        <is>
          <t>Person 028</t>
        </is>
      </c>
      <c r="C29" s="28" t="n">
        <v>22</v>
      </c>
      <c r="D29" s="28" t="inlineStr">
        <is>
          <t>person028@example.invalid</t>
        </is>
      </c>
      <c r="E29" s="28" t="inlineStr">
        <is>
          <t>+55 00 90000-0028</t>
        </is>
      </c>
      <c r="F29" s="28" t="inlineStr">
        <is>
          <t>BA</t>
        </is>
      </c>
      <c r="G29" s="28" t="inlineStr">
        <is>
          <t>Online Morning</t>
        </is>
      </c>
      <c r="H29" s="28" t="inlineStr">
        <is>
          <t>2 to 3 minimum wages</t>
        </is>
      </c>
    </row>
    <row r="30">
      <c r="A30" s="90" t="n">
        <v>46085</v>
      </c>
      <c r="B30" s="28" t="inlineStr">
        <is>
          <t>Person 029</t>
        </is>
      </c>
      <c r="C30" s="28" t="n">
        <v>25</v>
      </c>
      <c r="D30" s="28" t="inlineStr">
        <is>
          <t>person029@example.invalid</t>
        </is>
      </c>
      <c r="E30" s="28" t="inlineStr">
        <is>
          <t>+55 00 90000-0029</t>
        </is>
      </c>
      <c r="F30" s="28" t="inlineStr">
        <is>
          <t>PR</t>
        </is>
      </c>
      <c r="G30" s="28" t="inlineStr">
        <is>
          <t>Online Evening</t>
        </is>
      </c>
      <c r="H30" s="28" t="inlineStr">
        <is>
          <t>Above 3 minimum wages</t>
        </is>
      </c>
    </row>
    <row r="31">
      <c r="A31" s="90" t="n">
        <v>46087</v>
      </c>
      <c r="B31" s="28" t="inlineStr">
        <is>
          <t>Person 030</t>
        </is>
      </c>
      <c r="C31" s="28" t="n">
        <v>28</v>
      </c>
      <c r="D31" s="28" t="inlineStr">
        <is>
          <t>person030@example.invalid</t>
        </is>
      </c>
      <c r="E31" s="28" t="inlineStr">
        <is>
          <t>+55 00 90000-0030</t>
        </is>
      </c>
      <c r="F31" s="28" t="inlineStr">
        <is>
          <t>PE</t>
        </is>
      </c>
      <c r="G31" s="28" t="inlineStr">
        <is>
          <t>In Person</t>
        </is>
      </c>
      <c r="H31" s="28" t="inlineStr">
        <is>
          <t>Not provided</t>
        </is>
      </c>
    </row>
    <row r="32">
      <c r="A32" s="90" t="n">
        <v>46089</v>
      </c>
      <c r="B32" s="28" t="inlineStr">
        <is>
          <t>Person 031</t>
        </is>
      </c>
      <c r="C32" s="28" t="n">
        <v>31</v>
      </c>
      <c r="D32" s="28" t="inlineStr">
        <is>
          <t>person031@example.invalid</t>
        </is>
      </c>
      <c r="E32" s="28" t="inlineStr">
        <is>
          <t>+55 00 90000-0031</t>
        </is>
      </c>
      <c r="F32" s="28" t="inlineStr">
        <is>
          <t>SP</t>
        </is>
      </c>
      <c r="G32" s="28" t="inlineStr">
        <is>
          <t>Online Morning</t>
        </is>
      </c>
      <c r="H32" s="28" t="inlineStr">
        <is>
          <t>Up to 1 minimum wage</t>
        </is>
      </c>
    </row>
    <row r="33">
      <c r="A33" s="90" t="n">
        <v>46091</v>
      </c>
      <c r="B33" s="28" t="inlineStr">
        <is>
          <t>Person 032</t>
        </is>
      </c>
      <c r="C33" s="28" t="n">
        <v>34</v>
      </c>
      <c r="D33" s="28" t="inlineStr">
        <is>
          <t>person032@example.invalid</t>
        </is>
      </c>
      <c r="E33" s="28" t="inlineStr">
        <is>
          <t>+55 00 90000-0032</t>
        </is>
      </c>
      <c r="F33" s="28" t="inlineStr">
        <is>
          <t>RJ</t>
        </is>
      </c>
      <c r="G33" s="28" t="inlineStr">
        <is>
          <t>Online Evening</t>
        </is>
      </c>
      <c r="H33" s="28" t="inlineStr">
        <is>
          <t>1 to 2 minimum wages</t>
        </is>
      </c>
    </row>
    <row r="34">
      <c r="A34" s="90" t="n">
        <v>46093</v>
      </c>
      <c r="B34" s="28" t="inlineStr">
        <is>
          <t>Person 033</t>
        </is>
      </c>
      <c r="C34" s="28" t="n">
        <v>37</v>
      </c>
      <c r="D34" s="28" t="inlineStr">
        <is>
          <t>person033@example.invalid</t>
        </is>
      </c>
      <c r="E34" s="28" t="inlineStr">
        <is>
          <t>+55 00 90000-0033</t>
        </is>
      </c>
      <c r="F34" s="28" t="inlineStr">
        <is>
          <t>MG</t>
        </is>
      </c>
      <c r="G34" s="28" t="inlineStr">
        <is>
          <t>In Person</t>
        </is>
      </c>
      <c r="H34" s="28" t="inlineStr">
        <is>
          <t>2 to 3 minimum wages</t>
        </is>
      </c>
    </row>
    <row r="35">
      <c r="A35" s="90" t="n">
        <v>46095</v>
      </c>
      <c r="B35" s="28" t="inlineStr">
        <is>
          <t>Person 034</t>
        </is>
      </c>
      <c r="C35" s="28" t="n">
        <v>40</v>
      </c>
      <c r="D35" s="28" t="inlineStr">
        <is>
          <t>person034@example.invalid</t>
        </is>
      </c>
      <c r="E35" s="28" t="inlineStr">
        <is>
          <t>+55 00 90000-0034</t>
        </is>
      </c>
      <c r="F35" s="28" t="inlineStr">
        <is>
          <t>BA</t>
        </is>
      </c>
      <c r="G35" s="28" t="inlineStr">
        <is>
          <t>Online Morning</t>
        </is>
      </c>
      <c r="H35" s="28" t="inlineStr">
        <is>
          <t>Above 3 minimum wages</t>
        </is>
      </c>
    </row>
    <row r="36">
      <c r="A36" s="90" t="n">
        <v>46097</v>
      </c>
      <c r="B36" s="28" t="inlineStr">
        <is>
          <t>Person 035</t>
        </is>
      </c>
      <c r="C36" s="28" t="n">
        <v>43</v>
      </c>
      <c r="D36" s="28" t="inlineStr">
        <is>
          <t>person035@example.invalid</t>
        </is>
      </c>
      <c r="E36" s="28" t="inlineStr">
        <is>
          <t>+55 00 90000-0035</t>
        </is>
      </c>
      <c r="F36" s="28" t="inlineStr">
        <is>
          <t>PR</t>
        </is>
      </c>
      <c r="G36" s="28" t="inlineStr">
        <is>
          <t>Online Evening</t>
        </is>
      </c>
      <c r="H36" s="28" t="inlineStr">
        <is>
          <t>Not provided</t>
        </is>
      </c>
    </row>
    <row r="37">
      <c r="A37" s="90" t="n">
        <v>46099</v>
      </c>
      <c r="B37" s="28" t="inlineStr">
        <is>
          <t>Person 036</t>
        </is>
      </c>
      <c r="C37" s="28" t="n">
        <v>46</v>
      </c>
      <c r="D37" s="28" t="inlineStr">
        <is>
          <t>person036@example.invalid</t>
        </is>
      </c>
      <c r="E37" s="28" t="inlineStr">
        <is>
          <t>+55 00 90000-0036</t>
        </is>
      </c>
      <c r="F37" s="28" t="inlineStr">
        <is>
          <t>PE</t>
        </is>
      </c>
      <c r="G37" s="28" t="inlineStr">
        <is>
          <t>In Person</t>
        </is>
      </c>
      <c r="H37" s="28" t="inlineStr">
        <is>
          <t>Up to 1 minimum wage</t>
        </is>
      </c>
    </row>
    <row r="38">
      <c r="A38" s="90" t="n"/>
      <c r="B38" s="28" t="n"/>
      <c r="C38" s="28" t="n"/>
      <c r="D38" s="28" t="n"/>
      <c r="E38" s="28" t="n"/>
      <c r="F38" s="28" t="n"/>
      <c r="G38" s="28" t="n"/>
      <c r="H38" s="28" t="n"/>
    </row>
    <row r="39">
      <c r="A39" s="90" t="n"/>
      <c r="B39" s="28" t="n"/>
      <c r="C39" s="28" t="n"/>
      <c r="D39" s="28" t="n"/>
      <c r="E39" s="28" t="n"/>
      <c r="F39" s="28" t="n"/>
      <c r="G39" s="28" t="n"/>
      <c r="H39" s="28" t="n"/>
    </row>
    <row r="40">
      <c r="A40" s="90" t="n"/>
      <c r="B40" s="28" t="n"/>
      <c r="C40" s="28" t="n"/>
      <c r="D40" s="28" t="n"/>
      <c r="E40" s="28" t="n"/>
      <c r="F40" s="28" t="n"/>
      <c r="G40" s="28" t="n"/>
      <c r="H40" s="28" t="n"/>
    </row>
    <row r="41">
      <c r="A41" s="90" t="n"/>
      <c r="B41" s="28" t="n"/>
      <c r="C41" s="28" t="n"/>
      <c r="D41" s="28" t="n"/>
      <c r="E41" s="28" t="n"/>
      <c r="F41" s="28" t="n"/>
      <c r="G41" s="28" t="n"/>
      <c r="H41" s="28" t="n"/>
    </row>
    <row r="42">
      <c r="A42" s="90" t="n"/>
      <c r="B42" s="28" t="n"/>
      <c r="C42" s="28" t="n"/>
      <c r="D42" s="28" t="n"/>
      <c r="E42" s="28" t="n"/>
      <c r="F42" s="28" t="n"/>
      <c r="G42" s="28" t="n"/>
      <c r="H42" s="28" t="n"/>
    </row>
    <row r="43">
      <c r="A43" s="90" t="n"/>
      <c r="B43" s="28" t="n"/>
      <c r="C43" s="28" t="n"/>
      <c r="D43" s="28" t="n"/>
      <c r="E43" s="28" t="n"/>
      <c r="F43" s="28" t="n"/>
      <c r="G43" s="28" t="n"/>
      <c r="H43" s="28" t="n"/>
    </row>
    <row r="44">
      <c r="A44" s="90" t="n"/>
      <c r="B44" s="28" t="n"/>
      <c r="C44" s="28" t="n"/>
      <c r="D44" s="28" t="n"/>
      <c r="E44" s="28" t="n"/>
      <c r="F44" s="28" t="n"/>
      <c r="G44" s="28" t="n"/>
      <c r="H44" s="28" t="n"/>
    </row>
    <row r="45">
      <c r="A45" s="90" t="n"/>
      <c r="B45" s="28" t="n"/>
      <c r="C45" s="28" t="n"/>
      <c r="D45" s="28" t="n"/>
      <c r="E45" s="28" t="n"/>
      <c r="F45" s="28" t="n"/>
      <c r="G45" s="28" t="n"/>
      <c r="H45" s="28" t="n"/>
    </row>
    <row r="46">
      <c r="A46" s="90" t="n"/>
      <c r="B46" s="28" t="n"/>
      <c r="C46" s="28" t="n"/>
      <c r="D46" s="28" t="n"/>
      <c r="E46" s="28" t="n"/>
      <c r="F46" s="28" t="n"/>
      <c r="G46" s="28" t="n"/>
      <c r="H46" s="28" t="n"/>
    </row>
    <row r="47">
      <c r="A47" s="90" t="n"/>
      <c r="B47" s="28" t="n"/>
      <c r="C47" s="28" t="n"/>
      <c r="D47" s="28" t="n"/>
      <c r="E47" s="28" t="n"/>
      <c r="F47" s="28" t="n"/>
      <c r="G47" s="28" t="n"/>
      <c r="H47" s="28" t="n"/>
    </row>
    <row r="48">
      <c r="A48" s="90" t="n"/>
      <c r="B48" s="28" t="n"/>
      <c r="C48" s="28" t="n"/>
      <c r="D48" s="28" t="n"/>
      <c r="E48" s="28" t="n"/>
      <c r="F48" s="28" t="n"/>
      <c r="G48" s="28" t="n"/>
      <c r="H48" s="28" t="n"/>
    </row>
    <row r="49">
      <c r="A49" s="90" t="n"/>
      <c r="B49" s="28" t="n"/>
      <c r="C49" s="28" t="n"/>
      <c r="D49" s="28" t="n"/>
      <c r="E49" s="28" t="n"/>
      <c r="F49" s="28" t="n"/>
      <c r="G49" s="28" t="n"/>
      <c r="H49" s="28" t="n"/>
    </row>
    <row r="50">
      <c r="A50" s="90" t="n"/>
      <c r="B50" s="28" t="n"/>
      <c r="C50" s="28" t="n"/>
      <c r="D50" s="28" t="n"/>
      <c r="E50" s="28" t="n"/>
      <c r="F50" s="28" t="n"/>
      <c r="G50" s="28" t="n"/>
      <c r="H50" s="28" t="n"/>
    </row>
    <row r="51">
      <c r="A51" s="90" t="n"/>
      <c r="B51" s="28" t="n"/>
      <c r="C51" s="28" t="n"/>
      <c r="D51" s="28" t="n"/>
      <c r="E51" s="28" t="n"/>
      <c r="F51" s="28" t="n"/>
      <c r="G51" s="28" t="n"/>
      <c r="H51" s="28" t="n"/>
    </row>
    <row r="52">
      <c r="A52" s="90" t="n"/>
      <c r="B52" s="28" t="n"/>
      <c r="C52" s="28" t="n"/>
      <c r="D52" s="28" t="n"/>
      <c r="E52" s="28" t="n"/>
      <c r="F52" s="28" t="n"/>
      <c r="G52" s="28" t="n"/>
      <c r="H52" s="28" t="n"/>
    </row>
    <row r="53">
      <c r="A53" s="90" t="n"/>
      <c r="B53" s="28" t="n"/>
      <c r="C53" s="28" t="n"/>
      <c r="D53" s="28" t="n"/>
      <c r="E53" s="28" t="n"/>
      <c r="F53" s="28" t="n"/>
      <c r="G53" s="28" t="n"/>
      <c r="H53" s="28" t="n"/>
    </row>
    <row r="54">
      <c r="A54" s="90" t="n"/>
      <c r="B54" s="28" t="n"/>
      <c r="C54" s="28" t="n"/>
      <c r="D54" s="28" t="n"/>
      <c r="E54" s="28" t="n"/>
      <c r="F54" s="28" t="n"/>
      <c r="G54" s="28" t="n"/>
      <c r="H54" s="28" t="n"/>
    </row>
    <row r="55">
      <c r="A55" s="90" t="n"/>
      <c r="B55" s="28" t="n"/>
      <c r="C55" s="28" t="n"/>
      <c r="D55" s="28" t="n"/>
      <c r="E55" s="28" t="n"/>
      <c r="F55" s="28" t="n"/>
      <c r="G55" s="28" t="n"/>
      <c r="H55" s="28" t="n"/>
    </row>
    <row r="56">
      <c r="A56" s="90" t="n"/>
      <c r="B56" s="28" t="n"/>
      <c r="C56" s="28" t="n"/>
      <c r="D56" s="28" t="n"/>
      <c r="E56" s="28" t="n"/>
      <c r="F56" s="28" t="n"/>
      <c r="G56" s="28" t="n"/>
      <c r="H56" s="28" t="n"/>
    </row>
    <row r="57">
      <c r="A57" s="90" t="n"/>
      <c r="B57" s="28" t="n"/>
      <c r="C57" s="28" t="n"/>
      <c r="D57" s="28" t="n"/>
      <c r="E57" s="28" t="n"/>
      <c r="F57" s="28" t="n"/>
      <c r="G57" s="28" t="n"/>
      <c r="H57" s="28" t="n"/>
    </row>
    <row r="58">
      <c r="A58" s="90" t="n"/>
      <c r="B58" s="28" t="n"/>
      <c r="C58" s="28" t="n"/>
      <c r="D58" s="28" t="n"/>
      <c r="E58" s="28" t="n"/>
      <c r="F58" s="28" t="n"/>
      <c r="G58" s="28" t="n"/>
      <c r="H58" s="28" t="n"/>
    </row>
    <row r="59">
      <c r="A59" s="90" t="n"/>
      <c r="B59" s="28" t="n"/>
      <c r="C59" s="28" t="n"/>
      <c r="D59" s="28" t="n"/>
      <c r="E59" s="28" t="n"/>
      <c r="F59" s="28" t="n"/>
      <c r="G59" s="28" t="n"/>
      <c r="H59" s="28" t="n"/>
    </row>
    <row r="60">
      <c r="A60" s="90" t="n"/>
      <c r="B60" s="28" t="n"/>
      <c r="C60" s="28" t="n"/>
      <c r="D60" s="28" t="n"/>
      <c r="E60" s="28" t="n"/>
      <c r="F60" s="28" t="n"/>
      <c r="G60" s="28" t="n"/>
      <c r="H60" s="28" t="n"/>
    </row>
    <row r="61">
      <c r="A61" s="90" t="n"/>
      <c r="B61" s="28" t="n"/>
      <c r="C61" s="28" t="n"/>
      <c r="D61" s="28" t="n"/>
      <c r="E61" s="28" t="n"/>
      <c r="F61" s="28" t="n"/>
      <c r="G61" s="28" t="n"/>
      <c r="H61" s="28" t="n"/>
    </row>
    <row r="62">
      <c r="A62" s="90" t="n"/>
      <c r="B62" s="28" t="n"/>
      <c r="C62" s="28" t="n"/>
      <c r="D62" s="28" t="n"/>
      <c r="E62" s="28" t="n"/>
      <c r="F62" s="28" t="n"/>
      <c r="G62" s="28" t="n"/>
      <c r="H62" s="28" t="n"/>
    </row>
    <row r="63">
      <c r="A63" s="90" t="n"/>
      <c r="B63" s="28" t="n"/>
      <c r="C63" s="28" t="n"/>
      <c r="D63" s="28" t="n"/>
      <c r="E63" s="28" t="n"/>
      <c r="F63" s="28" t="n"/>
      <c r="G63" s="28" t="n"/>
      <c r="H63" s="28" t="n"/>
    </row>
    <row r="64">
      <c r="A64" s="90" t="n"/>
      <c r="B64" s="28" t="n"/>
      <c r="C64" s="28" t="n"/>
      <c r="D64" s="28" t="n"/>
      <c r="E64" s="28" t="n"/>
      <c r="F64" s="28" t="n"/>
      <c r="G64" s="28" t="n"/>
      <c r="H64" s="28" t="n"/>
    </row>
    <row r="65">
      <c r="A65" s="90" t="n"/>
      <c r="B65" s="28" t="n"/>
      <c r="C65" s="28" t="n"/>
      <c r="D65" s="28" t="n"/>
      <c r="E65" s="28" t="n"/>
      <c r="F65" s="28" t="n"/>
      <c r="G65" s="28" t="n"/>
      <c r="H65" s="28" t="n"/>
    </row>
    <row r="66">
      <c r="A66" s="90" t="n"/>
      <c r="B66" s="28" t="n"/>
      <c r="C66" s="28" t="n"/>
      <c r="D66" s="28" t="n"/>
      <c r="E66" s="28" t="n"/>
      <c r="F66" s="28" t="n"/>
      <c r="G66" s="28" t="n"/>
      <c r="H66" s="28" t="n"/>
    </row>
    <row r="67">
      <c r="A67" s="90" t="n"/>
      <c r="B67" s="28" t="n"/>
      <c r="C67" s="28" t="n"/>
      <c r="D67" s="28" t="n"/>
      <c r="E67" s="28" t="n"/>
      <c r="F67" s="28" t="n"/>
      <c r="G67" s="28" t="n"/>
      <c r="H67" s="28" t="n"/>
    </row>
    <row r="68">
      <c r="A68" s="90" t="n"/>
      <c r="B68" s="28" t="n"/>
      <c r="C68" s="28" t="n"/>
      <c r="D68" s="28" t="n"/>
      <c r="E68" s="28" t="n"/>
      <c r="F68" s="28" t="n"/>
      <c r="G68" s="28" t="n"/>
      <c r="H68" s="28" t="n"/>
    </row>
    <row r="69">
      <c r="A69" s="90" t="n"/>
      <c r="B69" s="28" t="n"/>
      <c r="C69" s="28" t="n"/>
      <c r="D69" s="28" t="n"/>
      <c r="E69" s="28" t="n"/>
      <c r="F69" s="28" t="n"/>
      <c r="G69" s="28" t="n"/>
      <c r="H69" s="28" t="n"/>
    </row>
    <row r="70">
      <c r="A70" s="90" t="n"/>
      <c r="B70" s="28" t="n"/>
      <c r="C70" s="28" t="n"/>
      <c r="D70" s="28" t="n"/>
      <c r="E70" s="28" t="n"/>
      <c r="F70" s="28" t="n"/>
      <c r="G70" s="28" t="n"/>
      <c r="H70" s="28" t="n"/>
    </row>
    <row r="71">
      <c r="A71" s="90" t="n"/>
      <c r="B71" s="28" t="n"/>
      <c r="C71" s="28" t="n"/>
      <c r="D71" s="28" t="n"/>
      <c r="E71" s="28" t="n"/>
      <c r="F71" s="28" t="n"/>
      <c r="G71" s="28" t="n"/>
      <c r="H71" s="28" t="n"/>
    </row>
    <row r="72">
      <c r="A72" s="90" t="n"/>
      <c r="B72" s="28" t="n"/>
      <c r="C72" s="28" t="n"/>
      <c r="D72" s="28" t="n"/>
      <c r="E72" s="28" t="n"/>
      <c r="F72" s="28" t="n"/>
      <c r="G72" s="28" t="n"/>
      <c r="H72" s="28" t="n"/>
    </row>
    <row r="73">
      <c r="A73" s="90" t="n"/>
      <c r="B73" s="28" t="n"/>
      <c r="C73" s="28" t="n"/>
      <c r="D73" s="28" t="n"/>
      <c r="E73" s="28" t="n"/>
      <c r="F73" s="28" t="n"/>
      <c r="G73" s="28" t="n"/>
      <c r="H73" s="28" t="n"/>
    </row>
    <row r="74">
      <c r="A74" s="90" t="n"/>
      <c r="B74" s="28" t="n"/>
      <c r="C74" s="28" t="n"/>
      <c r="D74" s="28" t="n"/>
      <c r="E74" s="28" t="n"/>
      <c r="F74" s="28" t="n"/>
      <c r="G74" s="28" t="n"/>
      <c r="H74" s="28" t="n"/>
    </row>
    <row r="75">
      <c r="A75" s="90" t="n"/>
      <c r="B75" s="28" t="n"/>
      <c r="C75" s="28" t="n"/>
      <c r="D75" s="28" t="n"/>
      <c r="E75" s="28" t="n"/>
      <c r="F75" s="28" t="n"/>
      <c r="G75" s="28" t="n"/>
      <c r="H75" s="28" t="n"/>
    </row>
    <row r="76">
      <c r="A76" s="90" t="n"/>
      <c r="B76" s="28" t="n"/>
      <c r="C76" s="28" t="n"/>
      <c r="D76" s="28" t="n"/>
      <c r="E76" s="28" t="n"/>
      <c r="F76" s="28" t="n"/>
      <c r="G76" s="28" t="n"/>
      <c r="H76" s="28" t="n"/>
    </row>
    <row r="77">
      <c r="A77" s="90" t="n"/>
      <c r="B77" s="28" t="n"/>
      <c r="C77" s="28" t="n"/>
      <c r="D77" s="28" t="n"/>
      <c r="E77" s="28" t="n"/>
      <c r="F77" s="28" t="n"/>
      <c r="G77" s="28" t="n"/>
      <c r="H77" s="28" t="n"/>
    </row>
    <row r="78">
      <c r="A78" s="90" t="n"/>
      <c r="B78" s="28" t="n"/>
      <c r="C78" s="28" t="n"/>
      <c r="D78" s="28" t="n"/>
      <c r="E78" s="28" t="n"/>
      <c r="F78" s="28" t="n"/>
      <c r="G78" s="28" t="n"/>
      <c r="H78" s="28" t="n"/>
    </row>
    <row r="79">
      <c r="A79" s="90" t="n"/>
      <c r="B79" s="28" t="n"/>
      <c r="C79" s="28" t="n"/>
      <c r="D79" s="28" t="n"/>
      <c r="E79" s="28" t="n"/>
      <c r="F79" s="28" t="n"/>
      <c r="G79" s="28" t="n"/>
      <c r="H79" s="28" t="n"/>
    </row>
    <row r="80">
      <c r="A80" s="90" t="n"/>
      <c r="B80" s="28" t="n"/>
      <c r="C80" s="28" t="n"/>
      <c r="D80" s="28" t="n"/>
      <c r="E80" s="28" t="n"/>
      <c r="F80" s="28" t="n"/>
      <c r="G80" s="28" t="n"/>
      <c r="H80" s="28" t="n"/>
    </row>
    <row r="81">
      <c r="A81" s="90" t="n"/>
      <c r="B81" s="28" t="n"/>
      <c r="C81" s="28" t="n"/>
      <c r="D81" s="28" t="n"/>
      <c r="E81" s="28" t="n"/>
      <c r="F81" s="28" t="n"/>
      <c r="G81" s="28" t="n"/>
      <c r="H81" s="28" t="n"/>
    </row>
    <row r="82">
      <c r="A82" s="90" t="n"/>
      <c r="B82" s="28" t="n"/>
      <c r="C82" s="28" t="n"/>
      <c r="D82" s="28" t="n"/>
      <c r="E82" s="28" t="n"/>
      <c r="F82" s="28" t="n"/>
      <c r="G82" s="28" t="n"/>
      <c r="H82" s="28" t="n"/>
    </row>
    <row r="83">
      <c r="A83" s="90" t="n"/>
      <c r="B83" s="28" t="n"/>
      <c r="C83" s="28" t="n"/>
      <c r="D83" s="28" t="n"/>
      <c r="E83" s="28" t="n"/>
      <c r="F83" s="28" t="n"/>
      <c r="G83" s="28" t="n"/>
      <c r="H83" s="28" t="n"/>
    </row>
    <row r="84">
      <c r="A84" s="90" t="n"/>
      <c r="B84" s="28" t="n"/>
      <c r="C84" s="28" t="n"/>
      <c r="D84" s="28" t="n"/>
      <c r="E84" s="28" t="n"/>
      <c r="F84" s="28" t="n"/>
      <c r="G84" s="28" t="n"/>
      <c r="H84" s="28" t="n"/>
    </row>
    <row r="85">
      <c r="A85" s="90" t="n"/>
      <c r="B85" s="28" t="n"/>
      <c r="C85" s="28" t="n"/>
      <c r="D85" s="28" t="n"/>
      <c r="E85" s="28" t="n"/>
      <c r="F85" s="28" t="n"/>
      <c r="G85" s="28" t="n"/>
      <c r="H85" s="28" t="n"/>
    </row>
    <row r="86">
      <c r="A86" s="90" t="n"/>
      <c r="B86" s="28" t="n"/>
      <c r="C86" s="28" t="n"/>
      <c r="D86" s="28" t="n"/>
      <c r="E86" s="28" t="n"/>
      <c r="F86" s="28" t="n"/>
      <c r="G86" s="28" t="n"/>
      <c r="H86" s="28" t="n"/>
    </row>
    <row r="87">
      <c r="A87" s="90" t="n"/>
      <c r="B87" s="28" t="n"/>
      <c r="C87" s="28" t="n"/>
      <c r="D87" s="28" t="n"/>
      <c r="E87" s="28" t="n"/>
      <c r="F87" s="28" t="n"/>
      <c r="G87" s="28" t="n"/>
      <c r="H87" s="28" t="n"/>
    </row>
    <row r="88">
      <c r="A88" s="90" t="n"/>
      <c r="B88" s="28" t="n"/>
      <c r="C88" s="28" t="n"/>
      <c r="D88" s="28" t="n"/>
      <c r="E88" s="28" t="n"/>
      <c r="F88" s="28" t="n"/>
      <c r="G88" s="28" t="n"/>
      <c r="H88" s="28" t="n"/>
    </row>
    <row r="89">
      <c r="A89" s="90" t="n"/>
      <c r="B89" s="28" t="n"/>
      <c r="C89" s="28" t="n"/>
      <c r="D89" s="28" t="n"/>
      <c r="E89" s="28" t="n"/>
      <c r="F89" s="28" t="n"/>
      <c r="G89" s="28" t="n"/>
      <c r="H89" s="28" t="n"/>
    </row>
    <row r="90">
      <c r="A90" s="90" t="n"/>
      <c r="B90" s="28" t="n"/>
      <c r="C90" s="28" t="n"/>
      <c r="D90" s="28" t="n"/>
      <c r="E90" s="28" t="n"/>
      <c r="F90" s="28" t="n"/>
      <c r="G90" s="28" t="n"/>
      <c r="H90" s="28" t="n"/>
    </row>
    <row r="91">
      <c r="A91" s="90" t="n"/>
      <c r="B91" s="28" t="n"/>
      <c r="C91" s="28" t="n"/>
      <c r="D91" s="28" t="n"/>
      <c r="E91" s="28" t="n"/>
      <c r="F91" s="28" t="n"/>
      <c r="G91" s="28" t="n"/>
      <c r="H91" s="28" t="n"/>
    </row>
    <row r="92">
      <c r="A92" s="90" t="n"/>
      <c r="B92" s="28" t="n"/>
      <c r="C92" s="28" t="n"/>
      <c r="D92" s="28" t="n"/>
      <c r="E92" s="28" t="n"/>
      <c r="F92" s="28" t="n"/>
      <c r="G92" s="28" t="n"/>
      <c r="H92" s="28" t="n"/>
    </row>
    <row r="93">
      <c r="A93" s="90" t="n"/>
      <c r="B93" s="28" t="n"/>
      <c r="C93" s="28" t="n"/>
      <c r="D93" s="28" t="n"/>
      <c r="E93" s="28" t="n"/>
      <c r="F93" s="28" t="n"/>
      <c r="G93" s="28" t="n"/>
      <c r="H93" s="28" t="n"/>
    </row>
    <row r="94">
      <c r="A94" s="90" t="n"/>
      <c r="B94" s="28" t="n"/>
      <c r="C94" s="28" t="n"/>
      <c r="D94" s="28" t="n"/>
      <c r="E94" s="28" t="n"/>
      <c r="F94" s="28" t="n"/>
      <c r="G94" s="28" t="n"/>
      <c r="H94" s="28" t="n"/>
    </row>
    <row r="95">
      <c r="A95" s="90" t="n"/>
      <c r="B95" s="28" t="n"/>
      <c r="C95" s="28" t="n"/>
      <c r="D95" s="28" t="n"/>
      <c r="E95" s="28" t="n"/>
      <c r="F95" s="28" t="n"/>
      <c r="G95" s="28" t="n"/>
      <c r="H95" s="28" t="n"/>
    </row>
    <row r="96">
      <c r="A96" s="90" t="n"/>
      <c r="B96" s="28" t="n"/>
      <c r="C96" s="28" t="n"/>
      <c r="D96" s="28" t="n"/>
      <c r="E96" s="28" t="n"/>
      <c r="F96" s="28" t="n"/>
      <c r="G96" s="28" t="n"/>
      <c r="H96" s="28" t="n"/>
    </row>
    <row r="97">
      <c r="A97" s="90" t="n"/>
      <c r="B97" s="28" t="n"/>
      <c r="C97" s="28" t="n"/>
      <c r="D97" s="28" t="n"/>
      <c r="E97" s="28" t="n"/>
      <c r="F97" s="28" t="n"/>
      <c r="G97" s="28" t="n"/>
      <c r="H97" s="28" t="n"/>
    </row>
    <row r="98">
      <c r="A98" s="90" t="n"/>
      <c r="B98" s="28" t="n"/>
      <c r="C98" s="28" t="n"/>
      <c r="D98" s="28" t="n"/>
      <c r="E98" s="28" t="n"/>
      <c r="F98" s="28" t="n"/>
      <c r="G98" s="28" t="n"/>
      <c r="H98" s="28" t="n"/>
    </row>
    <row r="99">
      <c r="A99" s="90" t="n"/>
      <c r="B99" s="28" t="n"/>
      <c r="C99" s="28" t="n"/>
      <c r="D99" s="28" t="n"/>
      <c r="E99" s="28" t="n"/>
      <c r="F99" s="28" t="n"/>
      <c r="G99" s="28" t="n"/>
      <c r="H99" s="28" t="n"/>
    </row>
    <row r="100">
      <c r="A100" s="90" t="n"/>
      <c r="B100" s="28" t="n"/>
      <c r="C100" s="28" t="n"/>
      <c r="D100" s="28" t="n"/>
      <c r="E100" s="28" t="n"/>
      <c r="F100" s="28" t="n"/>
      <c r="G100" s="28" t="n"/>
      <c r="H100" s="28" t="n"/>
    </row>
    <row r="101">
      <c r="A101" s="90" t="n"/>
      <c r="B101" s="28" t="n"/>
      <c r="C101" s="28" t="n"/>
      <c r="D101" s="28" t="n"/>
      <c r="E101" s="28" t="n"/>
      <c r="F101" s="28" t="n"/>
      <c r="G101" s="28" t="n"/>
      <c r="H101" s="28" t="n"/>
    </row>
    <row r="102">
      <c r="A102" s="90" t="n"/>
      <c r="B102" s="28" t="n"/>
      <c r="C102" s="28" t="n"/>
      <c r="D102" s="28" t="n"/>
      <c r="E102" s="28" t="n"/>
      <c r="F102" s="28" t="n"/>
      <c r="G102" s="28" t="n"/>
      <c r="H102" s="28" t="n"/>
    </row>
    <row r="103">
      <c r="A103" s="90" t="n"/>
      <c r="B103" s="28" t="n"/>
      <c r="C103" s="28" t="n"/>
      <c r="D103" s="28" t="n"/>
      <c r="E103" s="28" t="n"/>
      <c r="F103" s="28" t="n"/>
      <c r="G103" s="28" t="n"/>
      <c r="H103" s="28" t="n"/>
    </row>
    <row r="104">
      <c r="A104" s="90" t="n"/>
      <c r="B104" s="28" t="n"/>
      <c r="C104" s="28" t="n"/>
      <c r="D104" s="28" t="n"/>
      <c r="E104" s="28" t="n"/>
      <c r="F104" s="28" t="n"/>
      <c r="G104" s="28" t="n"/>
      <c r="H104" s="28" t="n"/>
    </row>
    <row r="105">
      <c r="A105" s="90" t="n"/>
      <c r="B105" s="28" t="n"/>
      <c r="C105" s="28" t="n"/>
      <c r="D105" s="28" t="n"/>
      <c r="E105" s="28" t="n"/>
      <c r="F105" s="28" t="n"/>
      <c r="G105" s="28" t="n"/>
      <c r="H105" s="28" t="n"/>
    </row>
    <row r="106">
      <c r="A106" s="90" t="n"/>
      <c r="B106" s="28" t="n"/>
      <c r="C106" s="28" t="n"/>
      <c r="D106" s="28" t="n"/>
      <c r="E106" s="28" t="n"/>
      <c r="F106" s="28" t="n"/>
      <c r="G106" s="28" t="n"/>
      <c r="H106" s="28" t="n"/>
    </row>
    <row r="107">
      <c r="A107" s="90" t="n"/>
      <c r="B107" s="28" t="n"/>
      <c r="C107" s="28" t="n"/>
      <c r="D107" s="28" t="n"/>
      <c r="E107" s="28" t="n"/>
      <c r="F107" s="28" t="n"/>
      <c r="G107" s="28" t="n"/>
      <c r="H107" s="28" t="n"/>
    </row>
    <row r="108">
      <c r="A108" s="90" t="n"/>
      <c r="B108" s="28" t="n"/>
      <c r="C108" s="28" t="n"/>
      <c r="D108" s="28" t="n"/>
      <c r="E108" s="28" t="n"/>
      <c r="F108" s="28" t="n"/>
      <c r="G108" s="28" t="n"/>
      <c r="H108" s="28" t="n"/>
    </row>
    <row r="109">
      <c r="A109" s="90" t="n"/>
      <c r="B109" s="28" t="n"/>
      <c r="C109" s="28" t="n"/>
      <c r="D109" s="28" t="n"/>
      <c r="E109" s="28" t="n"/>
      <c r="F109" s="28" t="n"/>
      <c r="G109" s="28" t="n"/>
      <c r="H109" s="28" t="n"/>
    </row>
    <row r="110">
      <c r="A110" s="90" t="n"/>
      <c r="B110" s="28" t="n"/>
      <c r="C110" s="28" t="n"/>
      <c r="D110" s="28" t="n"/>
      <c r="E110" s="28" t="n"/>
      <c r="F110" s="28" t="n"/>
      <c r="G110" s="28" t="n"/>
      <c r="H110" s="28" t="n"/>
    </row>
    <row r="111">
      <c r="A111" s="90" t="n"/>
      <c r="B111" s="28" t="n"/>
      <c r="C111" s="28" t="n"/>
      <c r="D111" s="28" t="n"/>
      <c r="E111" s="28" t="n"/>
      <c r="F111" s="28" t="n"/>
      <c r="G111" s="28" t="n"/>
      <c r="H111" s="28" t="n"/>
    </row>
    <row r="112">
      <c r="A112" s="90" t="n"/>
      <c r="B112" s="28" t="n"/>
      <c r="C112" s="28" t="n"/>
      <c r="D112" s="28" t="n"/>
      <c r="E112" s="28" t="n"/>
      <c r="F112" s="28" t="n"/>
      <c r="G112" s="28" t="n"/>
      <c r="H112" s="28" t="n"/>
    </row>
    <row r="113">
      <c r="A113" s="90" t="n"/>
      <c r="B113" s="28" t="n"/>
      <c r="C113" s="28" t="n"/>
      <c r="D113" s="28" t="n"/>
      <c r="E113" s="28" t="n"/>
      <c r="F113" s="28" t="n"/>
      <c r="G113" s="28" t="n"/>
      <c r="H113" s="28" t="n"/>
    </row>
    <row r="114">
      <c r="A114" s="90" t="n"/>
      <c r="B114" s="28" t="n"/>
      <c r="C114" s="28" t="n"/>
      <c r="D114" s="28" t="n"/>
      <c r="E114" s="28" t="n"/>
      <c r="F114" s="28" t="n"/>
      <c r="G114" s="28" t="n"/>
      <c r="H114" s="28" t="n"/>
    </row>
    <row r="115">
      <c r="A115" s="90" t="n"/>
      <c r="B115" s="28" t="n"/>
      <c r="C115" s="28" t="n"/>
      <c r="D115" s="28" t="n"/>
      <c r="E115" s="28" t="n"/>
      <c r="F115" s="28" t="n"/>
      <c r="G115" s="28" t="n"/>
      <c r="H115" s="28" t="n"/>
    </row>
    <row r="116">
      <c r="A116" s="90" t="n"/>
      <c r="B116" s="28" t="n"/>
      <c r="C116" s="28" t="n"/>
      <c r="D116" s="28" t="n"/>
      <c r="E116" s="28" t="n"/>
      <c r="F116" s="28" t="n"/>
      <c r="G116" s="28" t="n"/>
      <c r="H116" s="28" t="n"/>
    </row>
    <row r="117">
      <c r="A117" s="90" t="n"/>
      <c r="B117" s="28" t="n"/>
      <c r="C117" s="28" t="n"/>
      <c r="D117" s="28" t="n"/>
      <c r="E117" s="28" t="n"/>
      <c r="F117" s="28" t="n"/>
      <c r="G117" s="28" t="n"/>
      <c r="H117" s="28" t="n"/>
    </row>
    <row r="118">
      <c r="A118" s="90" t="n"/>
      <c r="B118" s="28" t="n"/>
      <c r="C118" s="28" t="n"/>
      <c r="D118" s="28" t="n"/>
      <c r="E118" s="28" t="n"/>
      <c r="F118" s="28" t="n"/>
      <c r="G118" s="28" t="n"/>
      <c r="H118" s="28" t="n"/>
    </row>
    <row r="119">
      <c r="A119" s="90" t="n"/>
      <c r="B119" s="28" t="n"/>
      <c r="C119" s="28" t="n"/>
      <c r="D119" s="28" t="n"/>
      <c r="E119" s="28" t="n"/>
      <c r="F119" s="28" t="n"/>
      <c r="G119" s="28" t="n"/>
      <c r="H119" s="28" t="n"/>
    </row>
    <row r="120">
      <c r="A120" s="90" t="n"/>
      <c r="B120" s="28" t="n"/>
      <c r="C120" s="28" t="n"/>
      <c r="D120" s="28" t="n"/>
      <c r="E120" s="28" t="n"/>
      <c r="F120" s="28" t="n"/>
      <c r="G120" s="28" t="n"/>
      <c r="H120" s="28" t="n"/>
    </row>
    <row r="121">
      <c r="A121" s="90" t="n"/>
      <c r="B121" s="28" t="n"/>
      <c r="C121" s="28" t="n"/>
      <c r="D121" s="28" t="n"/>
      <c r="E121" s="28" t="n"/>
      <c r="F121" s="28" t="n"/>
      <c r="G121" s="28" t="n"/>
      <c r="H121" s="28" t="n"/>
    </row>
    <row r="122">
      <c r="A122" s="90" t="n"/>
      <c r="B122" s="28" t="n"/>
      <c r="C122" s="28" t="n"/>
      <c r="D122" s="28" t="n"/>
      <c r="E122" s="28" t="n"/>
      <c r="F122" s="28" t="n"/>
      <c r="G122" s="28" t="n"/>
      <c r="H122" s="28" t="n"/>
    </row>
    <row r="123">
      <c r="A123" s="90" t="n"/>
      <c r="B123" s="28" t="n"/>
      <c r="C123" s="28" t="n"/>
      <c r="D123" s="28" t="n"/>
      <c r="E123" s="28" t="n"/>
      <c r="F123" s="28" t="n"/>
      <c r="G123" s="28" t="n"/>
      <c r="H123" s="28" t="n"/>
    </row>
    <row r="124">
      <c r="A124" s="90" t="n"/>
      <c r="B124" s="28" t="n"/>
      <c r="C124" s="28" t="n"/>
      <c r="D124" s="28" t="n"/>
      <c r="E124" s="28" t="n"/>
      <c r="F124" s="28" t="n"/>
      <c r="G124" s="28" t="n"/>
      <c r="H124" s="28" t="n"/>
    </row>
    <row r="125">
      <c r="A125" s="90" t="n"/>
      <c r="B125" s="28" t="n"/>
      <c r="C125" s="28" t="n"/>
      <c r="D125" s="28" t="n"/>
      <c r="E125" s="28" t="n"/>
      <c r="F125" s="28" t="n"/>
      <c r="G125" s="28" t="n"/>
      <c r="H125" s="28" t="n"/>
    </row>
    <row r="126">
      <c r="A126" s="90" t="n"/>
      <c r="B126" s="28" t="n"/>
      <c r="C126" s="28" t="n"/>
      <c r="D126" s="28" t="n"/>
      <c r="E126" s="28" t="n"/>
      <c r="F126" s="28" t="n"/>
      <c r="G126" s="28" t="n"/>
      <c r="H126" s="28" t="n"/>
    </row>
    <row r="127">
      <c r="A127" s="90" t="n"/>
      <c r="B127" s="28" t="n"/>
      <c r="C127" s="28" t="n"/>
      <c r="D127" s="28" t="n"/>
      <c r="E127" s="28" t="n"/>
      <c r="F127" s="28" t="n"/>
      <c r="G127" s="28" t="n"/>
      <c r="H127" s="28" t="n"/>
    </row>
    <row r="128">
      <c r="A128" s="90" t="n"/>
      <c r="B128" s="28" t="n"/>
      <c r="C128" s="28" t="n"/>
      <c r="D128" s="28" t="n"/>
      <c r="E128" s="28" t="n"/>
      <c r="F128" s="28" t="n"/>
      <c r="G128" s="28" t="n"/>
      <c r="H128" s="28" t="n"/>
    </row>
    <row r="129">
      <c r="A129" s="90" t="n"/>
      <c r="B129" s="28" t="n"/>
      <c r="C129" s="28" t="n"/>
      <c r="D129" s="28" t="n"/>
      <c r="E129" s="28" t="n"/>
      <c r="F129" s="28" t="n"/>
      <c r="G129" s="28" t="n"/>
      <c r="H129" s="28" t="n"/>
    </row>
    <row r="130">
      <c r="A130" s="90" t="n"/>
      <c r="B130" s="28" t="n"/>
      <c r="C130" s="28" t="n"/>
      <c r="D130" s="28" t="n"/>
      <c r="E130" s="28" t="n"/>
      <c r="F130" s="28" t="n"/>
      <c r="G130" s="28" t="n"/>
      <c r="H130" s="28" t="n"/>
    </row>
    <row r="131">
      <c r="A131" s="90" t="n"/>
      <c r="B131" s="28" t="n"/>
      <c r="C131" s="28" t="n"/>
      <c r="D131" s="28" t="n"/>
      <c r="E131" s="28" t="n"/>
      <c r="F131" s="28" t="n"/>
      <c r="G131" s="28" t="n"/>
      <c r="H131" s="28" t="n"/>
    </row>
    <row r="132">
      <c r="A132" s="90" t="n"/>
      <c r="B132" s="28" t="n"/>
      <c r="C132" s="28" t="n"/>
      <c r="D132" s="28" t="n"/>
      <c r="E132" s="28" t="n"/>
      <c r="F132" s="28" t="n"/>
      <c r="G132" s="28" t="n"/>
      <c r="H132" s="28" t="n"/>
    </row>
    <row r="133">
      <c r="A133" s="90" t="n"/>
      <c r="B133" s="28" t="n"/>
      <c r="C133" s="28" t="n"/>
      <c r="D133" s="28" t="n"/>
      <c r="E133" s="28" t="n"/>
      <c r="F133" s="28" t="n"/>
      <c r="G133" s="28" t="n"/>
      <c r="H133" s="28" t="n"/>
    </row>
    <row r="134">
      <c r="A134" s="90" t="n"/>
      <c r="B134" s="28" t="n"/>
      <c r="C134" s="28" t="n"/>
      <c r="D134" s="28" t="n"/>
      <c r="E134" s="28" t="n"/>
      <c r="F134" s="28" t="n"/>
      <c r="G134" s="28" t="n"/>
      <c r="H134" s="28" t="n"/>
    </row>
    <row r="135">
      <c r="A135" s="90" t="n"/>
      <c r="B135" s="28" t="n"/>
      <c r="C135" s="28" t="n"/>
      <c r="D135" s="28" t="n"/>
      <c r="E135" s="28" t="n"/>
      <c r="F135" s="28" t="n"/>
      <c r="G135" s="28" t="n"/>
      <c r="H135" s="28" t="n"/>
    </row>
    <row r="136">
      <c r="A136" s="90" t="n"/>
      <c r="B136" s="28" t="n"/>
      <c r="C136" s="28" t="n"/>
      <c r="D136" s="28" t="n"/>
      <c r="E136" s="28" t="n"/>
      <c r="F136" s="28" t="n"/>
      <c r="G136" s="28" t="n"/>
      <c r="H136" s="28" t="n"/>
    </row>
    <row r="137">
      <c r="A137" s="90" t="n"/>
      <c r="B137" s="28" t="n"/>
      <c r="C137" s="28" t="n"/>
      <c r="D137" s="28" t="n"/>
      <c r="E137" s="28" t="n"/>
      <c r="F137" s="28" t="n"/>
      <c r="G137" s="28" t="n"/>
      <c r="H137" s="28" t="n"/>
    </row>
    <row r="138">
      <c r="A138" s="90" t="n"/>
      <c r="B138" s="28" t="n"/>
      <c r="C138" s="28" t="n"/>
      <c r="D138" s="28" t="n"/>
      <c r="E138" s="28" t="n"/>
      <c r="F138" s="28" t="n"/>
      <c r="G138" s="28" t="n"/>
      <c r="H138" s="28" t="n"/>
    </row>
    <row r="139">
      <c r="A139" s="90" t="n"/>
      <c r="B139" s="28" t="n"/>
      <c r="C139" s="28" t="n"/>
      <c r="D139" s="28" t="n"/>
      <c r="E139" s="28" t="n"/>
      <c r="F139" s="28" t="n"/>
      <c r="G139" s="28" t="n"/>
      <c r="H139" s="28" t="n"/>
    </row>
    <row r="140">
      <c r="A140" s="90" t="n"/>
      <c r="B140" s="28" t="n"/>
      <c r="C140" s="28" t="n"/>
      <c r="D140" s="28" t="n"/>
      <c r="E140" s="28" t="n"/>
      <c r="F140" s="28" t="n"/>
      <c r="G140" s="28" t="n"/>
      <c r="H140" s="28" t="n"/>
    </row>
    <row r="141">
      <c r="A141" s="90" t="n"/>
      <c r="B141" s="28" t="n"/>
      <c r="C141" s="28" t="n"/>
      <c r="D141" s="28" t="n"/>
      <c r="E141" s="28" t="n"/>
      <c r="F141" s="28" t="n"/>
      <c r="G141" s="28" t="n"/>
      <c r="H141" s="28" t="n"/>
    </row>
    <row r="142">
      <c r="A142" s="90" t="n"/>
      <c r="B142" s="28" t="n"/>
      <c r="C142" s="28" t="n"/>
      <c r="D142" s="28" t="n"/>
      <c r="E142" s="28" t="n"/>
      <c r="F142" s="28" t="n"/>
      <c r="G142" s="28" t="n"/>
      <c r="H142" s="28" t="n"/>
    </row>
    <row r="143">
      <c r="A143" s="90" t="n"/>
      <c r="B143" s="28" t="n"/>
      <c r="C143" s="28" t="n"/>
      <c r="D143" s="28" t="n"/>
      <c r="E143" s="28" t="n"/>
      <c r="F143" s="28" t="n"/>
      <c r="G143" s="28" t="n"/>
      <c r="H143" s="28" t="n"/>
    </row>
    <row r="144">
      <c r="A144" s="90" t="n"/>
      <c r="B144" s="28" t="n"/>
      <c r="C144" s="28" t="n"/>
      <c r="D144" s="28" t="n"/>
      <c r="E144" s="28" t="n"/>
      <c r="F144" s="28" t="n"/>
      <c r="G144" s="28" t="n"/>
      <c r="H144" s="28" t="n"/>
    </row>
    <row r="145">
      <c r="A145" s="90" t="n"/>
      <c r="B145" s="28" t="n"/>
      <c r="C145" s="28" t="n"/>
      <c r="D145" s="28" t="n"/>
      <c r="E145" s="28" t="n"/>
      <c r="F145" s="28" t="n"/>
      <c r="G145" s="28" t="n"/>
      <c r="H145" s="28" t="n"/>
    </row>
    <row r="146">
      <c r="A146" s="90" t="n"/>
      <c r="B146" s="28" t="n"/>
      <c r="C146" s="28" t="n"/>
      <c r="D146" s="28" t="n"/>
      <c r="E146" s="28" t="n"/>
      <c r="F146" s="28" t="n"/>
      <c r="G146" s="28" t="n"/>
      <c r="H146" s="28" t="n"/>
    </row>
    <row r="147">
      <c r="A147" s="90" t="n"/>
      <c r="B147" s="28" t="n"/>
      <c r="C147" s="28" t="n"/>
      <c r="D147" s="28" t="n"/>
      <c r="E147" s="28" t="n"/>
      <c r="F147" s="28" t="n"/>
      <c r="G147" s="28" t="n"/>
      <c r="H147" s="28" t="n"/>
    </row>
    <row r="148">
      <c r="A148" s="90" t="n"/>
      <c r="B148" s="28" t="n"/>
      <c r="C148" s="28" t="n"/>
      <c r="D148" s="28" t="n"/>
      <c r="E148" s="28" t="n"/>
      <c r="F148" s="28" t="n"/>
      <c r="G148" s="28" t="n"/>
      <c r="H148" s="28" t="n"/>
    </row>
    <row r="149">
      <c r="A149" s="90" t="n"/>
      <c r="B149" s="28" t="n"/>
      <c r="C149" s="28" t="n"/>
      <c r="D149" s="28" t="n"/>
      <c r="E149" s="28" t="n"/>
      <c r="F149" s="28" t="n"/>
      <c r="G149" s="28" t="n"/>
      <c r="H149" s="28" t="n"/>
    </row>
    <row r="150">
      <c r="A150" s="90" t="n"/>
      <c r="B150" s="28" t="n"/>
      <c r="C150" s="28" t="n"/>
      <c r="D150" s="28" t="n"/>
      <c r="E150" s="28" t="n"/>
      <c r="F150" s="28" t="n"/>
      <c r="G150" s="28" t="n"/>
      <c r="H150" s="28" t="n"/>
    </row>
    <row r="151">
      <c r="A151" s="90" t="n"/>
      <c r="B151" s="28" t="n"/>
      <c r="C151" s="28" t="n"/>
      <c r="D151" s="28" t="n"/>
      <c r="E151" s="28" t="n"/>
      <c r="F151" s="28" t="n"/>
      <c r="G151" s="28" t="n"/>
      <c r="H151" s="28" t="n"/>
    </row>
    <row r="152">
      <c r="A152" s="90" t="n"/>
      <c r="B152" s="28" t="n"/>
      <c r="C152" s="28" t="n"/>
      <c r="D152" s="28" t="n"/>
      <c r="E152" s="28" t="n"/>
      <c r="F152" s="28" t="n"/>
      <c r="G152" s="28" t="n"/>
      <c r="H152" s="28" t="n"/>
    </row>
    <row r="153">
      <c r="A153" s="90" t="n"/>
      <c r="B153" s="28" t="n"/>
      <c r="C153" s="28" t="n"/>
      <c r="D153" s="28" t="n"/>
      <c r="E153" s="28" t="n"/>
      <c r="F153" s="28" t="n"/>
      <c r="G153" s="28" t="n"/>
      <c r="H153" s="28" t="n"/>
    </row>
    <row r="154">
      <c r="A154" s="90" t="n"/>
      <c r="B154" s="28" t="n"/>
      <c r="C154" s="28" t="n"/>
      <c r="D154" s="28" t="n"/>
      <c r="E154" s="28" t="n"/>
      <c r="F154" s="28" t="n"/>
      <c r="G154" s="28" t="n"/>
      <c r="H154" s="28" t="n"/>
    </row>
    <row r="155">
      <c r="A155" s="90" t="n"/>
      <c r="B155" s="28" t="n"/>
      <c r="C155" s="28" t="n"/>
      <c r="D155" s="28" t="n"/>
      <c r="E155" s="28" t="n"/>
      <c r="F155" s="28" t="n"/>
      <c r="G155" s="28" t="n"/>
      <c r="H155" s="28" t="n"/>
    </row>
    <row r="156">
      <c r="A156" s="90" t="n"/>
      <c r="B156" s="28" t="n"/>
      <c r="C156" s="28" t="n"/>
      <c r="D156" s="28" t="n"/>
      <c r="E156" s="28" t="n"/>
      <c r="F156" s="28" t="n"/>
      <c r="G156" s="28" t="n"/>
      <c r="H156" s="28" t="n"/>
    </row>
    <row r="157">
      <c r="A157" s="90" t="n"/>
      <c r="B157" s="28" t="n"/>
      <c r="C157" s="28" t="n"/>
      <c r="D157" s="28" t="n"/>
      <c r="E157" s="28" t="n"/>
      <c r="F157" s="28" t="n"/>
      <c r="G157" s="28" t="n"/>
      <c r="H157" s="28" t="n"/>
    </row>
    <row r="158">
      <c r="A158" s="90" t="n"/>
      <c r="B158" s="28" t="n"/>
      <c r="C158" s="28" t="n"/>
      <c r="D158" s="28" t="n"/>
      <c r="E158" s="28" t="n"/>
      <c r="F158" s="28" t="n"/>
      <c r="G158" s="28" t="n"/>
      <c r="H158" s="28" t="n"/>
    </row>
    <row r="159">
      <c r="A159" s="90" t="n"/>
      <c r="B159" s="28" t="n"/>
      <c r="C159" s="28" t="n"/>
      <c r="D159" s="28" t="n"/>
      <c r="E159" s="28" t="n"/>
      <c r="F159" s="28" t="n"/>
      <c r="G159" s="28" t="n"/>
      <c r="H159" s="28" t="n"/>
    </row>
    <row r="160">
      <c r="A160" s="90" t="n"/>
      <c r="B160" s="28" t="n"/>
      <c r="C160" s="28" t="n"/>
      <c r="D160" s="28" t="n"/>
      <c r="E160" s="28" t="n"/>
      <c r="F160" s="28" t="n"/>
      <c r="G160" s="28" t="n"/>
      <c r="H160" s="28" t="n"/>
    </row>
    <row r="161">
      <c r="A161" s="90" t="n"/>
      <c r="B161" s="28" t="n"/>
      <c r="C161" s="28" t="n"/>
      <c r="D161" s="28" t="n"/>
      <c r="E161" s="28" t="n"/>
      <c r="F161" s="28" t="n"/>
      <c r="G161" s="28" t="n"/>
      <c r="H161" s="28" t="n"/>
    </row>
    <row r="162">
      <c r="A162" s="90" t="n"/>
      <c r="B162" s="28" t="n"/>
      <c r="C162" s="28" t="n"/>
      <c r="D162" s="28" t="n"/>
      <c r="E162" s="28" t="n"/>
      <c r="F162" s="28" t="n"/>
      <c r="G162" s="28" t="n"/>
      <c r="H162" s="28" t="n"/>
    </row>
    <row r="163">
      <c r="A163" s="90" t="n"/>
      <c r="B163" s="28" t="n"/>
      <c r="C163" s="28" t="n"/>
      <c r="D163" s="28" t="n"/>
      <c r="E163" s="28" t="n"/>
      <c r="F163" s="28" t="n"/>
      <c r="G163" s="28" t="n"/>
      <c r="H163" s="28" t="n"/>
    </row>
    <row r="164">
      <c r="A164" s="90" t="n"/>
      <c r="B164" s="28" t="n"/>
      <c r="C164" s="28" t="n"/>
      <c r="D164" s="28" t="n"/>
      <c r="E164" s="28" t="n"/>
      <c r="F164" s="28" t="n"/>
      <c r="G164" s="28" t="n"/>
      <c r="H164" s="28" t="n"/>
    </row>
    <row r="165">
      <c r="A165" s="90" t="n"/>
      <c r="B165" s="28" t="n"/>
      <c r="C165" s="28" t="n"/>
      <c r="D165" s="28" t="n"/>
      <c r="E165" s="28" t="n"/>
      <c r="F165" s="28" t="n"/>
      <c r="G165" s="28" t="n"/>
      <c r="H165" s="28" t="n"/>
    </row>
    <row r="166">
      <c r="A166" s="90" t="n"/>
      <c r="B166" s="28" t="n"/>
      <c r="C166" s="28" t="n"/>
      <c r="D166" s="28" t="n"/>
      <c r="E166" s="28" t="n"/>
      <c r="F166" s="28" t="n"/>
      <c r="G166" s="28" t="n"/>
      <c r="H166" s="28" t="n"/>
    </row>
    <row r="167">
      <c r="A167" s="90" t="n"/>
      <c r="B167" s="28" t="n"/>
      <c r="C167" s="28" t="n"/>
      <c r="D167" s="28" t="n"/>
      <c r="E167" s="28" t="n"/>
      <c r="F167" s="28" t="n"/>
      <c r="G167" s="28" t="n"/>
      <c r="H167" s="28" t="n"/>
    </row>
    <row r="168">
      <c r="A168" s="90" t="n"/>
      <c r="B168" s="28" t="n"/>
      <c r="C168" s="28" t="n"/>
      <c r="D168" s="28" t="n"/>
      <c r="E168" s="28" t="n"/>
      <c r="F168" s="28" t="n"/>
      <c r="G168" s="28" t="n"/>
      <c r="H168" s="28" t="n"/>
    </row>
    <row r="169">
      <c r="A169" s="90" t="n"/>
      <c r="B169" s="28" t="n"/>
      <c r="C169" s="28" t="n"/>
      <c r="D169" s="28" t="n"/>
      <c r="E169" s="28" t="n"/>
      <c r="F169" s="28" t="n"/>
      <c r="G169" s="28" t="n"/>
      <c r="H169" s="28" t="n"/>
    </row>
    <row r="170">
      <c r="A170" s="90" t="n"/>
      <c r="B170" s="28" t="n"/>
      <c r="C170" s="28" t="n"/>
      <c r="D170" s="28" t="n"/>
      <c r="E170" s="28" t="n"/>
      <c r="F170" s="28" t="n"/>
      <c r="G170" s="28" t="n"/>
      <c r="H170" s="28" t="n"/>
    </row>
    <row r="171">
      <c r="A171" s="90" t="n"/>
      <c r="B171" s="28" t="n"/>
      <c r="C171" s="28" t="n"/>
      <c r="D171" s="28" t="n"/>
      <c r="E171" s="28" t="n"/>
      <c r="F171" s="28" t="n"/>
      <c r="G171" s="28" t="n"/>
      <c r="H171" s="28" t="n"/>
    </row>
    <row r="172">
      <c r="A172" s="90" t="n"/>
      <c r="B172" s="28" t="n"/>
      <c r="C172" s="28" t="n"/>
      <c r="D172" s="28" t="n"/>
      <c r="E172" s="28" t="n"/>
      <c r="F172" s="28" t="n"/>
      <c r="G172" s="28" t="n"/>
      <c r="H172" s="28" t="n"/>
    </row>
    <row r="173">
      <c r="A173" s="90" t="n"/>
      <c r="B173" s="28" t="n"/>
      <c r="C173" s="28" t="n"/>
      <c r="D173" s="28" t="n"/>
      <c r="E173" s="28" t="n"/>
      <c r="F173" s="28" t="n"/>
      <c r="G173" s="28" t="n"/>
      <c r="H173" s="28" t="n"/>
    </row>
    <row r="174">
      <c r="A174" s="90" t="n"/>
      <c r="B174" s="28" t="n"/>
      <c r="C174" s="28" t="n"/>
      <c r="D174" s="28" t="n"/>
      <c r="E174" s="28" t="n"/>
      <c r="F174" s="28" t="n"/>
      <c r="G174" s="28" t="n"/>
      <c r="H174" s="28" t="n"/>
    </row>
    <row r="175">
      <c r="A175" s="90" t="n"/>
      <c r="B175" s="28" t="n"/>
      <c r="C175" s="28" t="n"/>
      <c r="D175" s="28" t="n"/>
      <c r="E175" s="28" t="n"/>
      <c r="F175" s="28" t="n"/>
      <c r="G175" s="28" t="n"/>
      <c r="H175" s="28" t="n"/>
    </row>
    <row r="176">
      <c r="A176" s="90" t="n"/>
      <c r="B176" s="28" t="n"/>
      <c r="C176" s="28" t="n"/>
      <c r="D176" s="28" t="n"/>
      <c r="E176" s="28" t="n"/>
      <c r="F176" s="28" t="n"/>
      <c r="G176" s="28" t="n"/>
      <c r="H176" s="28" t="n"/>
    </row>
    <row r="177">
      <c r="A177" s="90" t="n"/>
      <c r="B177" s="28" t="n"/>
      <c r="C177" s="28" t="n"/>
      <c r="D177" s="28" t="n"/>
      <c r="E177" s="28" t="n"/>
      <c r="F177" s="28" t="n"/>
      <c r="G177" s="28" t="n"/>
      <c r="H177" s="28" t="n"/>
    </row>
    <row r="178">
      <c r="A178" s="90" t="n"/>
      <c r="B178" s="28" t="n"/>
      <c r="C178" s="28" t="n"/>
      <c r="D178" s="28" t="n"/>
      <c r="E178" s="28" t="n"/>
      <c r="F178" s="28" t="n"/>
      <c r="G178" s="28" t="n"/>
      <c r="H178" s="28" t="n"/>
    </row>
    <row r="179">
      <c r="A179" s="90" t="n"/>
      <c r="B179" s="28" t="n"/>
      <c r="C179" s="28" t="n"/>
      <c r="D179" s="28" t="n"/>
      <c r="E179" s="28" t="n"/>
      <c r="F179" s="28" t="n"/>
      <c r="G179" s="28" t="n"/>
      <c r="H179" s="28" t="n"/>
    </row>
    <row r="180">
      <c r="A180" s="90" t="n"/>
      <c r="B180" s="28" t="n"/>
      <c r="C180" s="28" t="n"/>
      <c r="D180" s="28" t="n"/>
      <c r="E180" s="28" t="n"/>
      <c r="F180" s="28" t="n"/>
      <c r="G180" s="28" t="n"/>
      <c r="H180" s="28" t="n"/>
    </row>
    <row r="181">
      <c r="A181" s="90" t="n"/>
      <c r="B181" s="28" t="n"/>
      <c r="C181" s="28" t="n"/>
      <c r="D181" s="28" t="n"/>
      <c r="E181" s="28" t="n"/>
      <c r="F181" s="28" t="n"/>
      <c r="G181" s="28" t="n"/>
      <c r="H181" s="28" t="n"/>
    </row>
    <row r="182">
      <c r="A182" s="90" t="n"/>
      <c r="B182" s="28" t="n"/>
      <c r="C182" s="28" t="n"/>
      <c r="D182" s="28" t="n"/>
      <c r="E182" s="28" t="n"/>
      <c r="F182" s="28" t="n"/>
      <c r="G182" s="28" t="n"/>
      <c r="H182" s="28" t="n"/>
    </row>
    <row r="183">
      <c r="A183" s="90" t="n"/>
      <c r="B183" s="28" t="n"/>
      <c r="C183" s="28" t="n"/>
      <c r="D183" s="28" t="n"/>
      <c r="E183" s="28" t="n"/>
      <c r="F183" s="28" t="n"/>
      <c r="G183" s="28" t="n"/>
      <c r="H183" s="28" t="n"/>
    </row>
    <row r="184">
      <c r="A184" s="90" t="n"/>
      <c r="B184" s="28" t="n"/>
      <c r="C184" s="28" t="n"/>
      <c r="D184" s="28" t="n"/>
      <c r="E184" s="28" t="n"/>
      <c r="F184" s="28" t="n"/>
      <c r="G184" s="28" t="n"/>
      <c r="H184" s="28" t="n"/>
    </row>
    <row r="185">
      <c r="A185" s="90" t="n"/>
      <c r="B185" s="28" t="n"/>
      <c r="C185" s="28" t="n"/>
      <c r="D185" s="28" t="n"/>
      <c r="E185" s="28" t="n"/>
      <c r="F185" s="28" t="n"/>
      <c r="G185" s="28" t="n"/>
      <c r="H185" s="28" t="n"/>
    </row>
    <row r="186">
      <c r="A186" s="90" t="n"/>
      <c r="B186" s="28" t="n"/>
      <c r="C186" s="28" t="n"/>
      <c r="D186" s="28" t="n"/>
      <c r="E186" s="28" t="n"/>
      <c r="F186" s="28" t="n"/>
      <c r="G186" s="28" t="n"/>
      <c r="H186" s="28" t="n"/>
    </row>
    <row r="187">
      <c r="A187" s="90" t="n"/>
      <c r="B187" s="28" t="n"/>
      <c r="C187" s="28" t="n"/>
      <c r="D187" s="28" t="n"/>
      <c r="E187" s="28" t="n"/>
      <c r="F187" s="28" t="n"/>
      <c r="G187" s="28" t="n"/>
      <c r="H187" s="28" t="n"/>
    </row>
    <row r="188">
      <c r="A188" s="90" t="n"/>
      <c r="B188" s="28" t="n"/>
      <c r="C188" s="28" t="n"/>
      <c r="D188" s="28" t="n"/>
      <c r="E188" s="28" t="n"/>
      <c r="F188" s="28" t="n"/>
      <c r="G188" s="28" t="n"/>
      <c r="H188" s="28" t="n"/>
    </row>
    <row r="189">
      <c r="A189" s="90" t="n"/>
      <c r="B189" s="28" t="n"/>
      <c r="C189" s="28" t="n"/>
      <c r="D189" s="28" t="n"/>
      <c r="E189" s="28" t="n"/>
      <c r="F189" s="28" t="n"/>
      <c r="G189" s="28" t="n"/>
      <c r="H189" s="28" t="n"/>
    </row>
    <row r="190">
      <c r="A190" s="90" t="n"/>
      <c r="B190" s="28" t="n"/>
      <c r="C190" s="28" t="n"/>
      <c r="D190" s="28" t="n"/>
      <c r="E190" s="28" t="n"/>
      <c r="F190" s="28" t="n"/>
      <c r="G190" s="28" t="n"/>
      <c r="H190" s="28" t="n"/>
    </row>
    <row r="191">
      <c r="A191" s="90" t="n"/>
      <c r="B191" s="28" t="n"/>
      <c r="C191" s="28" t="n"/>
      <c r="D191" s="28" t="n"/>
      <c r="E191" s="28" t="n"/>
      <c r="F191" s="28" t="n"/>
      <c r="G191" s="28" t="n"/>
      <c r="H191" s="28" t="n"/>
    </row>
    <row r="192">
      <c r="A192" s="90" t="n"/>
      <c r="B192" s="28" t="n"/>
      <c r="C192" s="28" t="n"/>
      <c r="D192" s="28" t="n"/>
      <c r="E192" s="28" t="n"/>
      <c r="F192" s="28" t="n"/>
      <c r="G192" s="28" t="n"/>
      <c r="H192" s="28" t="n"/>
    </row>
    <row r="193">
      <c r="A193" s="90" t="n"/>
      <c r="B193" s="28" t="n"/>
      <c r="C193" s="28" t="n"/>
      <c r="D193" s="28" t="n"/>
      <c r="E193" s="28" t="n"/>
      <c r="F193" s="28" t="n"/>
      <c r="G193" s="28" t="n"/>
      <c r="H193" s="28" t="n"/>
    </row>
    <row r="194">
      <c r="A194" s="90" t="n"/>
      <c r="B194" s="28" t="n"/>
      <c r="C194" s="28" t="n"/>
      <c r="D194" s="28" t="n"/>
      <c r="E194" s="28" t="n"/>
      <c r="F194" s="28" t="n"/>
      <c r="G194" s="28" t="n"/>
      <c r="H194" s="28" t="n"/>
    </row>
    <row r="195">
      <c r="A195" s="90" t="n"/>
      <c r="B195" s="28" t="n"/>
      <c r="C195" s="28" t="n"/>
      <c r="D195" s="28" t="n"/>
      <c r="E195" s="28" t="n"/>
      <c r="F195" s="28" t="n"/>
      <c r="G195" s="28" t="n"/>
      <c r="H195" s="28" t="n"/>
    </row>
    <row r="196">
      <c r="A196" s="90" t="n"/>
      <c r="B196" s="28" t="n"/>
      <c r="C196" s="28" t="n"/>
      <c r="D196" s="28" t="n"/>
      <c r="E196" s="28" t="n"/>
      <c r="F196" s="28" t="n"/>
      <c r="G196" s="28" t="n"/>
      <c r="H196" s="28" t="n"/>
    </row>
    <row r="197">
      <c r="A197" s="90" t="n"/>
      <c r="B197" s="28" t="n"/>
      <c r="C197" s="28" t="n"/>
      <c r="D197" s="28" t="n"/>
      <c r="E197" s="28" t="n"/>
      <c r="F197" s="28" t="n"/>
      <c r="G197" s="28" t="n"/>
      <c r="H197" s="28" t="n"/>
    </row>
    <row r="198">
      <c r="A198" s="90" t="n"/>
      <c r="B198" s="28" t="n"/>
      <c r="C198" s="28" t="n"/>
      <c r="D198" s="28" t="n"/>
      <c r="E198" s="28" t="n"/>
      <c r="F198" s="28" t="n"/>
      <c r="G198" s="28" t="n"/>
      <c r="H198" s="28" t="n"/>
    </row>
    <row r="199">
      <c r="A199" s="90" t="n"/>
      <c r="B199" s="28" t="n"/>
      <c r="C199" s="28" t="n"/>
      <c r="D199" s="28" t="n"/>
      <c r="E199" s="28" t="n"/>
      <c r="F199" s="28" t="n"/>
      <c r="G199" s="28" t="n"/>
      <c r="H199" s="28" t="n"/>
    </row>
    <row r="200">
      <c r="A200" s="90" t="n"/>
      <c r="B200" s="28" t="n"/>
      <c r="C200" s="28" t="n"/>
      <c r="D200" s="28" t="n"/>
      <c r="E200" s="28" t="n"/>
      <c r="F200" s="28" t="n"/>
      <c r="G200" s="28" t="n"/>
      <c r="H200" s="28" t="n"/>
    </row>
    <row r="201">
      <c r="A201" s="90" t="n"/>
      <c r="B201" s="28" t="n"/>
      <c r="C201" s="28" t="n"/>
      <c r="D201" s="28" t="n"/>
      <c r="E201" s="28" t="n"/>
      <c r="F201" s="28" t="n"/>
      <c r="G201" s="28" t="n"/>
      <c r="H201" s="28" t="n"/>
    </row>
    <row r="202">
      <c r="A202" s="90" t="n"/>
      <c r="B202" s="28" t="n"/>
      <c r="C202" s="28" t="n"/>
      <c r="D202" s="28" t="n"/>
      <c r="E202" s="28" t="n"/>
      <c r="F202" s="28" t="n"/>
      <c r="G202" s="28" t="n"/>
      <c r="H202" s="28" t="n"/>
    </row>
    <row r="203">
      <c r="A203" s="90" t="n"/>
      <c r="B203" s="28" t="n"/>
      <c r="C203" s="28" t="n"/>
      <c r="D203" s="28" t="n"/>
      <c r="E203" s="28" t="n"/>
      <c r="F203" s="28" t="n"/>
      <c r="G203" s="28" t="n"/>
      <c r="H203" s="28" t="n"/>
    </row>
    <row r="204">
      <c r="A204" s="90" t="n"/>
      <c r="B204" s="28" t="n"/>
      <c r="C204" s="28" t="n"/>
      <c r="D204" s="28" t="n"/>
      <c r="E204" s="28" t="n"/>
      <c r="F204" s="28" t="n"/>
      <c r="G204" s="28" t="n"/>
      <c r="H204" s="28" t="n"/>
    </row>
    <row r="205">
      <c r="A205" s="90" t="n"/>
      <c r="B205" s="28" t="n"/>
      <c r="C205" s="28" t="n"/>
      <c r="D205" s="28" t="n"/>
      <c r="E205" s="28" t="n"/>
      <c r="F205" s="28" t="n"/>
      <c r="G205" s="28" t="n"/>
      <c r="H205" s="28" t="n"/>
    </row>
    <row r="206">
      <c r="A206" s="90" t="n"/>
      <c r="B206" s="28" t="n"/>
      <c r="C206" s="28" t="n"/>
      <c r="D206" s="28" t="n"/>
      <c r="E206" s="28" t="n"/>
      <c r="F206" s="28" t="n"/>
      <c r="G206" s="28" t="n"/>
      <c r="H206" s="28" t="n"/>
    </row>
    <row r="207">
      <c r="A207" s="90" t="n"/>
      <c r="B207" s="28" t="n"/>
      <c r="C207" s="28" t="n"/>
      <c r="D207" s="28" t="n"/>
      <c r="E207" s="28" t="n"/>
      <c r="F207" s="28" t="n"/>
      <c r="G207" s="28" t="n"/>
      <c r="H207" s="28" t="n"/>
    </row>
    <row r="208">
      <c r="A208" s="90" t="n"/>
      <c r="B208" s="28" t="n"/>
      <c r="C208" s="28" t="n"/>
      <c r="D208" s="28" t="n"/>
      <c r="E208" s="28" t="n"/>
      <c r="F208" s="28" t="n"/>
      <c r="G208" s="28" t="n"/>
      <c r="H208" s="28" t="n"/>
    </row>
    <row r="209">
      <c r="A209" s="90" t="n"/>
      <c r="B209" s="28" t="n"/>
      <c r="C209" s="28" t="n"/>
      <c r="D209" s="28" t="n"/>
      <c r="E209" s="28" t="n"/>
      <c r="F209" s="28" t="n"/>
      <c r="G209" s="28" t="n"/>
      <c r="H209" s="28" t="n"/>
    </row>
    <row r="210">
      <c r="A210" s="90" t="n"/>
      <c r="B210" s="28" t="n"/>
      <c r="C210" s="28" t="n"/>
      <c r="D210" s="28" t="n"/>
      <c r="E210" s="28" t="n"/>
      <c r="F210" s="28" t="n"/>
      <c r="G210" s="28" t="n"/>
      <c r="H210" s="28" t="n"/>
    </row>
    <row r="211">
      <c r="A211" s="90" t="n"/>
      <c r="B211" s="28" t="n"/>
      <c r="C211" s="28" t="n"/>
      <c r="D211" s="28" t="n"/>
      <c r="E211" s="28" t="n"/>
      <c r="F211" s="28" t="n"/>
      <c r="G211" s="28" t="n"/>
      <c r="H211" s="28" t="n"/>
    </row>
    <row r="212">
      <c r="A212" s="90" t="n"/>
      <c r="B212" s="28" t="n"/>
      <c r="C212" s="28" t="n"/>
      <c r="D212" s="28" t="n"/>
      <c r="E212" s="28" t="n"/>
      <c r="F212" s="28" t="n"/>
      <c r="G212" s="28" t="n"/>
      <c r="H212" s="28" t="n"/>
    </row>
    <row r="213">
      <c r="A213" s="90" t="n"/>
      <c r="B213" s="28" t="n"/>
      <c r="C213" s="28" t="n"/>
      <c r="D213" s="28" t="n"/>
      <c r="E213" s="28" t="n"/>
      <c r="F213" s="28" t="n"/>
      <c r="G213" s="28" t="n"/>
      <c r="H213" s="28" t="n"/>
    </row>
    <row r="214">
      <c r="A214" s="90" t="n"/>
      <c r="B214" s="28" t="n"/>
      <c r="C214" s="28" t="n"/>
      <c r="D214" s="28" t="n"/>
      <c r="E214" s="28" t="n"/>
      <c r="F214" s="28" t="n"/>
      <c r="G214" s="28" t="n"/>
      <c r="H214" s="28" t="n"/>
    </row>
    <row r="215">
      <c r="A215" s="90" t="n"/>
      <c r="B215" s="28" t="n"/>
      <c r="C215" s="28" t="n"/>
      <c r="D215" s="28" t="n"/>
      <c r="E215" s="28" t="n"/>
      <c r="F215" s="28" t="n"/>
      <c r="G215" s="28" t="n"/>
      <c r="H215" s="28" t="n"/>
    </row>
    <row r="216">
      <c r="A216" s="90" t="n"/>
      <c r="B216" s="28" t="n"/>
      <c r="C216" s="28" t="n"/>
      <c r="D216" s="28" t="n"/>
      <c r="E216" s="28" t="n"/>
      <c r="F216" s="28" t="n"/>
      <c r="G216" s="28" t="n"/>
      <c r="H216" s="28" t="n"/>
    </row>
    <row r="217">
      <c r="A217" s="90" t="n"/>
      <c r="B217" s="28" t="n"/>
      <c r="C217" s="28" t="n"/>
      <c r="D217" s="28" t="n"/>
      <c r="E217" s="28" t="n"/>
      <c r="F217" s="28" t="n"/>
      <c r="G217" s="28" t="n"/>
      <c r="H217" s="28" t="n"/>
    </row>
    <row r="218">
      <c r="A218" s="90" t="n"/>
      <c r="B218" s="28" t="n"/>
      <c r="C218" s="28" t="n"/>
      <c r="D218" s="28" t="n"/>
      <c r="E218" s="28" t="n"/>
      <c r="F218" s="28" t="n"/>
      <c r="G218" s="28" t="n"/>
      <c r="H218" s="28" t="n"/>
    </row>
    <row r="219">
      <c r="A219" s="90" t="n"/>
      <c r="B219" s="28" t="n"/>
      <c r="C219" s="28" t="n"/>
      <c r="D219" s="28" t="n"/>
      <c r="E219" s="28" t="n"/>
      <c r="F219" s="28" t="n"/>
      <c r="G219" s="28" t="n"/>
      <c r="H219" s="28" t="n"/>
    </row>
    <row r="220">
      <c r="A220" s="90" t="n"/>
      <c r="B220" s="28" t="n"/>
      <c r="C220" s="28" t="n"/>
      <c r="D220" s="28" t="n"/>
      <c r="E220" s="28" t="n"/>
      <c r="F220" s="28" t="n"/>
      <c r="G220" s="28" t="n"/>
      <c r="H220" s="28" t="n"/>
    </row>
    <row r="221">
      <c r="A221" s="90" t="n"/>
      <c r="B221" s="28" t="n"/>
      <c r="C221" s="28" t="n"/>
      <c r="D221" s="28" t="n"/>
      <c r="E221" s="28" t="n"/>
      <c r="F221" s="28" t="n"/>
      <c r="G221" s="28" t="n"/>
      <c r="H221" s="28" t="n"/>
    </row>
    <row r="222">
      <c r="A222" s="90" t="n"/>
      <c r="B222" s="28" t="n"/>
      <c r="C222" s="28" t="n"/>
      <c r="D222" s="28" t="n"/>
      <c r="E222" s="28" t="n"/>
      <c r="F222" s="28" t="n"/>
      <c r="G222" s="28" t="n"/>
      <c r="H222" s="28" t="n"/>
    </row>
    <row r="223">
      <c r="A223" s="90" t="n"/>
      <c r="B223" s="28" t="n"/>
      <c r="C223" s="28" t="n"/>
      <c r="D223" s="28" t="n"/>
      <c r="E223" s="28" t="n"/>
      <c r="F223" s="28" t="n"/>
      <c r="G223" s="28" t="n"/>
      <c r="H223" s="28" t="n"/>
    </row>
    <row r="224">
      <c r="A224" s="90" t="n"/>
      <c r="B224" s="28" t="n"/>
      <c r="C224" s="28" t="n"/>
      <c r="D224" s="28" t="n"/>
      <c r="E224" s="28" t="n"/>
      <c r="F224" s="28" t="n"/>
      <c r="G224" s="28" t="n"/>
      <c r="H224" s="28" t="n"/>
    </row>
    <row r="225">
      <c r="A225" s="90" t="n"/>
      <c r="B225" s="28" t="n"/>
      <c r="C225" s="28" t="n"/>
      <c r="D225" s="28" t="n"/>
      <c r="E225" s="28" t="n"/>
      <c r="F225" s="28" t="n"/>
      <c r="G225" s="28" t="n"/>
      <c r="H225" s="28" t="n"/>
    </row>
    <row r="226">
      <c r="A226" s="90" t="n"/>
      <c r="B226" s="28" t="n"/>
      <c r="C226" s="28" t="n"/>
      <c r="D226" s="28" t="n"/>
      <c r="E226" s="28" t="n"/>
      <c r="F226" s="28" t="n"/>
      <c r="G226" s="28" t="n"/>
      <c r="H226" s="28" t="n"/>
    </row>
    <row r="227">
      <c r="A227" s="90" t="n"/>
      <c r="B227" s="28" t="n"/>
      <c r="C227" s="28" t="n"/>
      <c r="D227" s="28" t="n"/>
      <c r="E227" s="28" t="n"/>
      <c r="F227" s="28" t="n"/>
      <c r="G227" s="28" t="n"/>
      <c r="H227" s="28" t="n"/>
    </row>
    <row r="228">
      <c r="A228" s="90" t="n"/>
      <c r="B228" s="28" t="n"/>
      <c r="C228" s="28" t="n"/>
      <c r="D228" s="28" t="n"/>
      <c r="E228" s="28" t="n"/>
      <c r="F228" s="28" t="n"/>
      <c r="G228" s="28" t="n"/>
      <c r="H228" s="28" t="n"/>
    </row>
    <row r="229">
      <c r="A229" s="90" t="n"/>
      <c r="B229" s="28" t="n"/>
      <c r="C229" s="28" t="n"/>
      <c r="D229" s="28" t="n"/>
      <c r="E229" s="28" t="n"/>
      <c r="F229" s="28" t="n"/>
      <c r="G229" s="28" t="n"/>
      <c r="H229" s="28" t="n"/>
    </row>
    <row r="230">
      <c r="A230" s="90" t="n"/>
      <c r="B230" s="28" t="n"/>
      <c r="C230" s="28" t="n"/>
      <c r="D230" s="28" t="n"/>
      <c r="E230" s="28" t="n"/>
      <c r="F230" s="28" t="n"/>
      <c r="G230" s="28" t="n"/>
      <c r="H230" s="28" t="n"/>
    </row>
    <row r="231">
      <c r="A231" s="90" t="n"/>
      <c r="B231" s="28" t="n"/>
      <c r="C231" s="28" t="n"/>
      <c r="D231" s="28" t="n"/>
      <c r="E231" s="28" t="n"/>
      <c r="F231" s="28" t="n"/>
      <c r="G231" s="28" t="n"/>
      <c r="H231" s="28" t="n"/>
    </row>
    <row r="232">
      <c r="A232" s="90" t="n"/>
      <c r="B232" s="28" t="n"/>
      <c r="C232" s="28" t="n"/>
      <c r="D232" s="28" t="n"/>
      <c r="E232" s="28" t="n"/>
      <c r="F232" s="28" t="n"/>
      <c r="G232" s="28" t="n"/>
      <c r="H232" s="28" t="n"/>
    </row>
    <row r="233">
      <c r="A233" s="90" t="n"/>
      <c r="B233" s="28" t="n"/>
      <c r="C233" s="28" t="n"/>
      <c r="D233" s="28" t="n"/>
      <c r="E233" s="28" t="n"/>
      <c r="F233" s="28" t="n"/>
      <c r="G233" s="28" t="n"/>
      <c r="H233" s="28" t="n"/>
    </row>
    <row r="234">
      <c r="A234" s="90" t="n"/>
      <c r="B234" s="28" t="n"/>
      <c r="C234" s="28" t="n"/>
      <c r="D234" s="28" t="n"/>
      <c r="E234" s="28" t="n"/>
      <c r="F234" s="28" t="n"/>
      <c r="G234" s="28" t="n"/>
      <c r="H234" s="28" t="n"/>
    </row>
    <row r="235">
      <c r="A235" s="90" t="n"/>
      <c r="B235" s="28" t="n"/>
      <c r="C235" s="28" t="n"/>
      <c r="D235" s="28" t="n"/>
      <c r="E235" s="28" t="n"/>
      <c r="F235" s="28" t="n"/>
      <c r="G235" s="28" t="n"/>
      <c r="H235" s="28" t="n"/>
    </row>
    <row r="236">
      <c r="A236" s="90" t="n"/>
      <c r="B236" s="28" t="n"/>
      <c r="C236" s="28" t="n"/>
      <c r="D236" s="28" t="n"/>
      <c r="E236" s="28" t="n"/>
      <c r="F236" s="28" t="n"/>
      <c r="G236" s="28" t="n"/>
      <c r="H236" s="28" t="n"/>
    </row>
    <row r="237">
      <c r="A237" s="90" t="n"/>
      <c r="B237" s="28" t="n"/>
      <c r="C237" s="28" t="n"/>
      <c r="D237" s="28" t="n"/>
      <c r="E237" s="28" t="n"/>
      <c r="F237" s="28" t="n"/>
      <c r="G237" s="28" t="n"/>
      <c r="H237" s="28" t="n"/>
    </row>
    <row r="238">
      <c r="A238" s="90" t="n"/>
      <c r="B238" s="28" t="n"/>
      <c r="C238" s="28" t="n"/>
      <c r="D238" s="28" t="n"/>
      <c r="E238" s="28" t="n"/>
      <c r="F238" s="28" t="n"/>
      <c r="G238" s="28" t="n"/>
      <c r="H238" s="28" t="n"/>
    </row>
    <row r="239">
      <c r="A239" s="90" t="n"/>
      <c r="B239" s="28" t="n"/>
      <c r="C239" s="28" t="n"/>
      <c r="D239" s="28" t="n"/>
      <c r="E239" s="28" t="n"/>
      <c r="F239" s="28" t="n"/>
      <c r="G239" s="28" t="n"/>
      <c r="H239" s="28" t="n"/>
    </row>
    <row r="240">
      <c r="A240" s="90" t="n"/>
      <c r="B240" s="28" t="n"/>
      <c r="C240" s="28" t="n"/>
      <c r="D240" s="28" t="n"/>
      <c r="E240" s="28" t="n"/>
      <c r="F240" s="28" t="n"/>
      <c r="G240" s="28" t="n"/>
      <c r="H240" s="28" t="n"/>
    </row>
    <row r="241">
      <c r="A241" s="90" t="n"/>
      <c r="B241" s="28" t="n"/>
      <c r="C241" s="28" t="n"/>
      <c r="D241" s="28" t="n"/>
      <c r="E241" s="28" t="n"/>
      <c r="F241" s="28" t="n"/>
      <c r="G241" s="28" t="n"/>
      <c r="H241" s="28" t="n"/>
    </row>
    <row r="242">
      <c r="A242" s="90" t="n"/>
      <c r="B242" s="28" t="n"/>
      <c r="C242" s="28" t="n"/>
      <c r="D242" s="28" t="n"/>
      <c r="E242" s="28" t="n"/>
      <c r="F242" s="28" t="n"/>
      <c r="G242" s="28" t="n"/>
      <c r="H242" s="28" t="n"/>
    </row>
    <row r="243">
      <c r="A243" s="90" t="n"/>
      <c r="B243" s="28" t="n"/>
      <c r="C243" s="28" t="n"/>
      <c r="D243" s="28" t="n"/>
      <c r="E243" s="28" t="n"/>
      <c r="F243" s="28" t="n"/>
      <c r="G243" s="28" t="n"/>
      <c r="H243" s="28" t="n"/>
    </row>
    <row r="244">
      <c r="A244" s="90" t="n"/>
      <c r="B244" s="28" t="n"/>
      <c r="C244" s="28" t="n"/>
      <c r="D244" s="28" t="n"/>
      <c r="E244" s="28" t="n"/>
      <c r="F244" s="28" t="n"/>
      <c r="G244" s="28" t="n"/>
      <c r="H244" s="28" t="n"/>
    </row>
    <row r="245">
      <c r="A245" s="90" t="n"/>
      <c r="B245" s="28" t="n"/>
      <c r="C245" s="28" t="n"/>
      <c r="D245" s="28" t="n"/>
      <c r="E245" s="28" t="n"/>
      <c r="F245" s="28" t="n"/>
      <c r="G245" s="28" t="n"/>
      <c r="H245" s="28" t="n"/>
    </row>
    <row r="246">
      <c r="A246" s="90" t="n"/>
      <c r="B246" s="28" t="n"/>
      <c r="C246" s="28" t="n"/>
      <c r="D246" s="28" t="n"/>
      <c r="E246" s="28" t="n"/>
      <c r="F246" s="28" t="n"/>
      <c r="G246" s="28" t="n"/>
      <c r="H246" s="28" t="n"/>
    </row>
    <row r="247">
      <c r="A247" s="90" t="n"/>
      <c r="B247" s="28" t="n"/>
      <c r="C247" s="28" t="n"/>
      <c r="D247" s="28" t="n"/>
      <c r="E247" s="28" t="n"/>
      <c r="F247" s="28" t="n"/>
      <c r="G247" s="28" t="n"/>
      <c r="H247" s="28" t="n"/>
    </row>
    <row r="248">
      <c r="A248" s="90" t="n"/>
      <c r="B248" s="28" t="n"/>
      <c r="C248" s="28" t="n"/>
      <c r="D248" s="28" t="n"/>
      <c r="E248" s="28" t="n"/>
      <c r="F248" s="28" t="n"/>
      <c r="G248" s="28" t="n"/>
      <c r="H248" s="28" t="n"/>
    </row>
    <row r="249">
      <c r="A249" s="90" t="n"/>
      <c r="B249" s="28" t="n"/>
      <c r="C249" s="28" t="n"/>
      <c r="D249" s="28" t="n"/>
      <c r="E249" s="28" t="n"/>
      <c r="F249" s="28" t="n"/>
      <c r="G249" s="28" t="n"/>
      <c r="H249" s="28" t="n"/>
    </row>
    <row r="250">
      <c r="A250" s="90" t="n"/>
      <c r="B250" s="28" t="n"/>
      <c r="C250" s="28" t="n"/>
      <c r="D250" s="28" t="n"/>
      <c r="E250" s="28" t="n"/>
      <c r="F250" s="28" t="n"/>
      <c r="G250" s="28" t="n"/>
      <c r="H250" s="28" t="n"/>
    </row>
    <row r="251">
      <c r="A251" s="90" t="n"/>
      <c r="B251" s="28" t="n"/>
      <c r="C251" s="28" t="n"/>
      <c r="D251" s="28" t="n"/>
      <c r="E251" s="28" t="n"/>
      <c r="F251" s="28" t="n"/>
      <c r="G251" s="28" t="n"/>
      <c r="H251" s="28" t="n"/>
    </row>
    <row r="252">
      <c r="A252" s="90" t="n"/>
      <c r="B252" s="28" t="n"/>
      <c r="C252" s="28" t="n"/>
      <c r="D252" s="28" t="n"/>
      <c r="E252" s="28" t="n"/>
      <c r="F252" s="28" t="n"/>
      <c r="G252" s="28" t="n"/>
      <c r="H252" s="28" t="n"/>
    </row>
    <row r="253">
      <c r="A253" s="90" t="n"/>
      <c r="B253" s="28" t="n"/>
      <c r="C253" s="28" t="n"/>
      <c r="D253" s="28" t="n"/>
      <c r="E253" s="28" t="n"/>
      <c r="F253" s="28" t="n"/>
      <c r="G253" s="28" t="n"/>
      <c r="H253" s="28" t="n"/>
    </row>
    <row r="254">
      <c r="A254" s="90" t="n"/>
      <c r="B254" s="28" t="n"/>
      <c r="C254" s="28" t="n"/>
      <c r="D254" s="28" t="n"/>
      <c r="E254" s="28" t="n"/>
      <c r="F254" s="28" t="n"/>
      <c r="G254" s="28" t="n"/>
      <c r="H254" s="28" t="n"/>
    </row>
    <row r="255">
      <c r="A255" s="90" t="n"/>
      <c r="B255" s="28" t="n"/>
      <c r="C255" s="28" t="n"/>
      <c r="D255" s="28" t="n"/>
      <c r="E255" s="28" t="n"/>
      <c r="F255" s="28" t="n"/>
      <c r="G255" s="28" t="n"/>
      <c r="H255" s="28" t="n"/>
    </row>
    <row r="256">
      <c r="A256" s="90" t="n"/>
      <c r="B256" s="28" t="n"/>
      <c r="C256" s="28" t="n"/>
      <c r="D256" s="28" t="n"/>
      <c r="E256" s="28" t="n"/>
      <c r="F256" s="28" t="n"/>
      <c r="G256" s="28" t="n"/>
      <c r="H256" s="28" t="n"/>
    </row>
    <row r="257">
      <c r="A257" s="90" t="n"/>
      <c r="B257" s="28" t="n"/>
      <c r="C257" s="28" t="n"/>
      <c r="D257" s="28" t="n"/>
      <c r="E257" s="28" t="n"/>
      <c r="F257" s="28" t="n"/>
      <c r="G257" s="28" t="n"/>
      <c r="H257" s="28" t="n"/>
    </row>
    <row r="258">
      <c r="A258" s="90" t="n"/>
      <c r="B258" s="28" t="n"/>
      <c r="C258" s="28" t="n"/>
      <c r="D258" s="28" t="n"/>
      <c r="E258" s="28" t="n"/>
      <c r="F258" s="28" t="n"/>
      <c r="G258" s="28" t="n"/>
      <c r="H258" s="28" t="n"/>
    </row>
    <row r="259">
      <c r="A259" s="90" t="n"/>
      <c r="B259" s="28" t="n"/>
      <c r="C259" s="28" t="n"/>
      <c r="D259" s="28" t="n"/>
      <c r="E259" s="28" t="n"/>
      <c r="F259" s="28" t="n"/>
      <c r="G259" s="28" t="n"/>
      <c r="H259" s="28" t="n"/>
    </row>
    <row r="260">
      <c r="A260" s="90" t="n"/>
      <c r="B260" s="28" t="n"/>
      <c r="C260" s="28" t="n"/>
      <c r="D260" s="28" t="n"/>
      <c r="E260" s="28" t="n"/>
      <c r="F260" s="28" t="n"/>
      <c r="G260" s="28" t="n"/>
      <c r="H260" s="28" t="n"/>
    </row>
    <row r="261">
      <c r="A261" s="90" t="n"/>
      <c r="B261" s="28" t="n"/>
      <c r="C261" s="28" t="n"/>
      <c r="D261" s="28" t="n"/>
      <c r="E261" s="28" t="n"/>
      <c r="F261" s="28" t="n"/>
      <c r="G261" s="28" t="n"/>
      <c r="H261" s="28" t="n"/>
    </row>
    <row r="262">
      <c r="A262" s="90" t="n"/>
      <c r="B262" s="28" t="n"/>
      <c r="C262" s="28" t="n"/>
      <c r="D262" s="28" t="n"/>
      <c r="E262" s="28" t="n"/>
      <c r="F262" s="28" t="n"/>
      <c r="G262" s="28" t="n"/>
      <c r="H262" s="28" t="n"/>
    </row>
    <row r="263">
      <c r="A263" s="90" t="n"/>
      <c r="B263" s="28" t="n"/>
      <c r="C263" s="28" t="n"/>
      <c r="D263" s="28" t="n"/>
      <c r="E263" s="28" t="n"/>
      <c r="F263" s="28" t="n"/>
      <c r="G263" s="28" t="n"/>
      <c r="H263" s="28" t="n"/>
    </row>
    <row r="264">
      <c r="A264" s="90" t="n"/>
      <c r="B264" s="28" t="n"/>
      <c r="C264" s="28" t="n"/>
      <c r="D264" s="28" t="n"/>
      <c r="E264" s="28" t="n"/>
      <c r="F264" s="28" t="n"/>
      <c r="G264" s="28" t="n"/>
      <c r="H264" s="28" t="n"/>
    </row>
    <row r="265">
      <c r="A265" s="90" t="n"/>
      <c r="B265" s="28" t="n"/>
      <c r="C265" s="28" t="n"/>
      <c r="D265" s="28" t="n"/>
      <c r="E265" s="28" t="n"/>
      <c r="F265" s="28" t="n"/>
      <c r="G265" s="28" t="n"/>
      <c r="H265" s="28" t="n"/>
    </row>
    <row r="266">
      <c r="A266" s="90" t="n"/>
      <c r="B266" s="28" t="n"/>
      <c r="C266" s="28" t="n"/>
      <c r="D266" s="28" t="n"/>
      <c r="E266" s="28" t="n"/>
      <c r="F266" s="28" t="n"/>
      <c r="G266" s="28" t="n"/>
      <c r="H266" s="28" t="n"/>
    </row>
    <row r="267">
      <c r="A267" s="90" t="n"/>
      <c r="B267" s="28" t="n"/>
      <c r="C267" s="28" t="n"/>
      <c r="D267" s="28" t="n"/>
      <c r="E267" s="28" t="n"/>
      <c r="F267" s="28" t="n"/>
      <c r="G267" s="28" t="n"/>
      <c r="H267" s="28" t="n"/>
    </row>
    <row r="268">
      <c r="A268" s="90" t="n"/>
      <c r="B268" s="28" t="n"/>
      <c r="C268" s="28" t="n"/>
      <c r="D268" s="28" t="n"/>
      <c r="E268" s="28" t="n"/>
      <c r="F268" s="28" t="n"/>
      <c r="G268" s="28" t="n"/>
      <c r="H268" s="28" t="n"/>
    </row>
    <row r="269">
      <c r="A269" s="90" t="n"/>
      <c r="B269" s="28" t="n"/>
      <c r="C269" s="28" t="n"/>
      <c r="D269" s="28" t="n"/>
      <c r="E269" s="28" t="n"/>
      <c r="F269" s="28" t="n"/>
      <c r="G269" s="28" t="n"/>
      <c r="H269" s="28" t="n"/>
    </row>
    <row r="270">
      <c r="A270" s="90" t="n"/>
      <c r="B270" s="28" t="n"/>
      <c r="C270" s="28" t="n"/>
      <c r="D270" s="28" t="n"/>
      <c r="E270" s="28" t="n"/>
      <c r="F270" s="28" t="n"/>
      <c r="G270" s="28" t="n"/>
      <c r="H270" s="28" t="n"/>
    </row>
    <row r="271">
      <c r="A271" s="90" t="n"/>
      <c r="B271" s="28" t="n"/>
      <c r="C271" s="28" t="n"/>
      <c r="D271" s="28" t="n"/>
      <c r="E271" s="28" t="n"/>
      <c r="F271" s="28" t="n"/>
      <c r="G271" s="28" t="n"/>
      <c r="H271" s="28" t="n"/>
    </row>
    <row r="272">
      <c r="A272" s="90" t="n"/>
      <c r="B272" s="28" t="n"/>
      <c r="C272" s="28" t="n"/>
      <c r="D272" s="28" t="n"/>
      <c r="E272" s="28" t="n"/>
      <c r="F272" s="28" t="n"/>
      <c r="G272" s="28" t="n"/>
      <c r="H272" s="28" t="n"/>
    </row>
    <row r="273">
      <c r="A273" s="90" t="n"/>
      <c r="B273" s="28" t="n"/>
      <c r="C273" s="28" t="n"/>
      <c r="D273" s="28" t="n"/>
      <c r="E273" s="28" t="n"/>
      <c r="F273" s="28" t="n"/>
      <c r="G273" s="28" t="n"/>
      <c r="H273" s="28" t="n"/>
    </row>
    <row r="274">
      <c r="A274" s="90" t="n"/>
      <c r="B274" s="28" t="n"/>
      <c r="C274" s="28" t="n"/>
      <c r="D274" s="28" t="n"/>
      <c r="E274" s="28" t="n"/>
      <c r="F274" s="28" t="n"/>
      <c r="G274" s="28" t="n"/>
      <c r="H274" s="28" t="n"/>
    </row>
    <row r="275">
      <c r="A275" s="90" t="n"/>
      <c r="B275" s="28" t="n"/>
      <c r="C275" s="28" t="n"/>
      <c r="D275" s="28" t="n"/>
      <c r="E275" s="28" t="n"/>
      <c r="F275" s="28" t="n"/>
      <c r="G275" s="28" t="n"/>
      <c r="H275" s="28" t="n"/>
    </row>
    <row r="276">
      <c r="A276" s="90" t="n"/>
      <c r="B276" s="28" t="n"/>
      <c r="C276" s="28" t="n"/>
      <c r="D276" s="28" t="n"/>
      <c r="E276" s="28" t="n"/>
      <c r="F276" s="28" t="n"/>
      <c r="G276" s="28" t="n"/>
      <c r="H276" s="28" t="n"/>
    </row>
    <row r="277">
      <c r="A277" s="90" t="n"/>
      <c r="B277" s="28" t="n"/>
      <c r="C277" s="28" t="n"/>
      <c r="D277" s="28" t="n"/>
      <c r="E277" s="28" t="n"/>
      <c r="F277" s="28" t="n"/>
      <c r="G277" s="28" t="n"/>
      <c r="H277" s="28" t="n"/>
    </row>
    <row r="278">
      <c r="A278" s="90" t="n"/>
      <c r="B278" s="28" t="n"/>
      <c r="C278" s="28" t="n"/>
      <c r="D278" s="28" t="n"/>
      <c r="E278" s="28" t="n"/>
      <c r="F278" s="28" t="n"/>
      <c r="G278" s="28" t="n"/>
      <c r="H278" s="28" t="n"/>
    </row>
    <row r="279">
      <c r="A279" s="90" t="n"/>
      <c r="B279" s="28" t="n"/>
      <c r="C279" s="28" t="n"/>
      <c r="D279" s="28" t="n"/>
      <c r="E279" s="28" t="n"/>
      <c r="F279" s="28" t="n"/>
      <c r="G279" s="28" t="n"/>
      <c r="H279" s="28" t="n"/>
    </row>
    <row r="280">
      <c r="A280" s="90" t="n"/>
      <c r="B280" s="28" t="n"/>
      <c r="C280" s="28" t="n"/>
      <c r="D280" s="28" t="n"/>
      <c r="E280" s="28" t="n"/>
      <c r="F280" s="28" t="n"/>
      <c r="G280" s="28" t="n"/>
      <c r="H280" s="28" t="n"/>
    </row>
    <row r="281">
      <c r="A281" s="90" t="n"/>
      <c r="B281" s="28" t="n"/>
      <c r="C281" s="28" t="n"/>
      <c r="D281" s="28" t="n"/>
      <c r="E281" s="28" t="n"/>
      <c r="F281" s="28" t="n"/>
      <c r="G281" s="28" t="n"/>
      <c r="H281" s="28" t="n"/>
    </row>
    <row r="282">
      <c r="A282" s="90" t="n"/>
      <c r="B282" s="28" t="n"/>
      <c r="C282" s="28" t="n"/>
      <c r="D282" s="28" t="n"/>
      <c r="E282" s="28" t="n"/>
      <c r="F282" s="28" t="n"/>
      <c r="G282" s="28" t="n"/>
      <c r="H282" s="28" t="n"/>
    </row>
    <row r="283">
      <c r="A283" s="90" t="n"/>
      <c r="B283" s="28" t="n"/>
      <c r="C283" s="28" t="n"/>
      <c r="D283" s="28" t="n"/>
      <c r="E283" s="28" t="n"/>
      <c r="F283" s="28" t="n"/>
      <c r="G283" s="28" t="n"/>
      <c r="H283" s="28" t="n"/>
    </row>
    <row r="284">
      <c r="A284" s="90" t="n"/>
      <c r="B284" s="28" t="n"/>
      <c r="C284" s="28" t="n"/>
      <c r="D284" s="28" t="n"/>
      <c r="E284" s="28" t="n"/>
      <c r="F284" s="28" t="n"/>
      <c r="G284" s="28" t="n"/>
      <c r="H284" s="28" t="n"/>
    </row>
    <row r="285">
      <c r="A285" s="90" t="n"/>
      <c r="B285" s="28" t="n"/>
      <c r="C285" s="28" t="n"/>
      <c r="D285" s="28" t="n"/>
      <c r="E285" s="28" t="n"/>
      <c r="F285" s="28" t="n"/>
      <c r="G285" s="28" t="n"/>
      <c r="H285" s="28" t="n"/>
    </row>
    <row r="286">
      <c r="A286" s="90" t="n"/>
      <c r="B286" s="28" t="n"/>
      <c r="C286" s="28" t="n"/>
      <c r="D286" s="28" t="n"/>
      <c r="E286" s="28" t="n"/>
      <c r="F286" s="28" t="n"/>
      <c r="G286" s="28" t="n"/>
      <c r="H286" s="28" t="n"/>
    </row>
    <row r="287">
      <c r="A287" s="90" t="n"/>
      <c r="B287" s="28" t="n"/>
      <c r="C287" s="28" t="n"/>
      <c r="D287" s="28" t="n"/>
      <c r="E287" s="28" t="n"/>
      <c r="F287" s="28" t="n"/>
      <c r="G287" s="28" t="n"/>
      <c r="H287" s="28" t="n"/>
    </row>
    <row r="288">
      <c r="A288" s="90" t="n"/>
      <c r="B288" s="28" t="n"/>
      <c r="C288" s="28" t="n"/>
      <c r="D288" s="28" t="n"/>
      <c r="E288" s="28" t="n"/>
      <c r="F288" s="28" t="n"/>
      <c r="G288" s="28" t="n"/>
      <c r="H288" s="28" t="n"/>
    </row>
    <row r="289">
      <c r="A289" s="90" t="n"/>
      <c r="B289" s="28" t="n"/>
      <c r="C289" s="28" t="n"/>
      <c r="D289" s="28" t="n"/>
      <c r="E289" s="28" t="n"/>
      <c r="F289" s="28" t="n"/>
      <c r="G289" s="28" t="n"/>
      <c r="H289" s="28" t="n"/>
    </row>
    <row r="290">
      <c r="A290" s="90" t="n"/>
      <c r="B290" s="28" t="n"/>
      <c r="C290" s="28" t="n"/>
      <c r="D290" s="28" t="n"/>
      <c r="E290" s="28" t="n"/>
      <c r="F290" s="28" t="n"/>
      <c r="G290" s="28" t="n"/>
      <c r="H290" s="28" t="n"/>
    </row>
    <row r="291">
      <c r="A291" s="90" t="n"/>
      <c r="B291" s="28" t="n"/>
      <c r="C291" s="28" t="n"/>
      <c r="D291" s="28" t="n"/>
      <c r="E291" s="28" t="n"/>
      <c r="F291" s="28" t="n"/>
      <c r="G291" s="28" t="n"/>
      <c r="H291" s="28" t="n"/>
    </row>
    <row r="292">
      <c r="A292" s="90" t="n"/>
      <c r="B292" s="28" t="n"/>
      <c r="C292" s="28" t="n"/>
      <c r="D292" s="28" t="n"/>
      <c r="E292" s="28" t="n"/>
      <c r="F292" s="28" t="n"/>
      <c r="G292" s="28" t="n"/>
      <c r="H292" s="28" t="n"/>
    </row>
    <row r="293">
      <c r="A293" s="90" t="n"/>
      <c r="B293" s="28" t="n"/>
      <c r="C293" s="28" t="n"/>
      <c r="D293" s="28" t="n"/>
      <c r="E293" s="28" t="n"/>
      <c r="F293" s="28" t="n"/>
      <c r="G293" s="28" t="n"/>
      <c r="H293" s="28" t="n"/>
    </row>
    <row r="294">
      <c r="A294" s="90" t="n"/>
      <c r="B294" s="28" t="n"/>
      <c r="C294" s="28" t="n"/>
      <c r="D294" s="28" t="n"/>
      <c r="E294" s="28" t="n"/>
      <c r="F294" s="28" t="n"/>
      <c r="G294" s="28" t="n"/>
      <c r="H294" s="28" t="n"/>
    </row>
    <row r="295">
      <c r="A295" s="90" t="n"/>
      <c r="B295" s="28" t="n"/>
      <c r="C295" s="28" t="n"/>
      <c r="D295" s="28" t="n"/>
      <c r="E295" s="28" t="n"/>
      <c r="F295" s="28" t="n"/>
      <c r="G295" s="28" t="n"/>
      <c r="H295" s="28" t="n"/>
    </row>
    <row r="296">
      <c r="A296" s="90" t="n"/>
      <c r="B296" s="28" t="n"/>
      <c r="C296" s="28" t="n"/>
      <c r="D296" s="28" t="n"/>
      <c r="E296" s="28" t="n"/>
      <c r="F296" s="28" t="n"/>
      <c r="G296" s="28" t="n"/>
      <c r="H296" s="28" t="n"/>
    </row>
    <row r="297">
      <c r="A297" s="90" t="n"/>
      <c r="B297" s="28" t="n"/>
      <c r="C297" s="28" t="n"/>
      <c r="D297" s="28" t="n"/>
      <c r="E297" s="28" t="n"/>
      <c r="F297" s="28" t="n"/>
      <c r="G297" s="28" t="n"/>
      <c r="H297" s="28" t="n"/>
    </row>
    <row r="298">
      <c r="A298" s="90" t="n"/>
      <c r="B298" s="28" t="n"/>
      <c r="C298" s="28" t="n"/>
      <c r="D298" s="28" t="n"/>
      <c r="E298" s="28" t="n"/>
      <c r="F298" s="28" t="n"/>
      <c r="G298" s="28" t="n"/>
      <c r="H298" s="28" t="n"/>
    </row>
    <row r="299">
      <c r="A299" s="90" t="n"/>
      <c r="B299" s="28" t="n"/>
      <c r="C299" s="28" t="n"/>
      <c r="D299" s="28" t="n"/>
      <c r="E299" s="28" t="n"/>
      <c r="F299" s="28" t="n"/>
      <c r="G299" s="28" t="n"/>
      <c r="H299" s="28" t="n"/>
    </row>
    <row r="300">
      <c r="A300" s="90" t="n"/>
      <c r="B300" s="28" t="n"/>
      <c r="C300" s="28" t="n"/>
      <c r="D300" s="28" t="n"/>
      <c r="E300" s="28" t="n"/>
      <c r="F300" s="28" t="n"/>
      <c r="G300" s="28" t="n"/>
      <c r="H300" s="28" t="n"/>
    </row>
    <row r="301">
      <c r="A301" s="90" t="n"/>
      <c r="B301" s="28" t="n"/>
      <c r="C301" s="28" t="n"/>
      <c r="D301" s="28" t="n"/>
      <c r="E301" s="28" t="n"/>
      <c r="F301" s="28" t="n"/>
      <c r="G301" s="28" t="n"/>
      <c r="H301" s="28" t="n"/>
    </row>
    <row r="302">
      <c r="A302" s="90" t="n"/>
      <c r="B302" s="28" t="n"/>
      <c r="C302" s="28" t="n"/>
      <c r="D302" s="28" t="n"/>
      <c r="E302" s="28" t="n"/>
      <c r="F302" s="28" t="n"/>
      <c r="G302" s="28" t="n"/>
      <c r="H302" s="28" t="n"/>
    </row>
    <row r="303">
      <c r="A303" s="90" t="n"/>
      <c r="B303" s="28" t="n"/>
      <c r="C303" s="28" t="n"/>
      <c r="D303" s="28" t="n"/>
      <c r="E303" s="28" t="n"/>
      <c r="F303" s="28" t="n"/>
      <c r="G303" s="28" t="n"/>
      <c r="H303" s="28" t="n"/>
    </row>
    <row r="304">
      <c r="A304" s="90" t="n"/>
      <c r="B304" s="28" t="n"/>
      <c r="C304" s="28" t="n"/>
      <c r="D304" s="28" t="n"/>
      <c r="E304" s="28" t="n"/>
      <c r="F304" s="28" t="n"/>
      <c r="G304" s="28" t="n"/>
      <c r="H304" s="28" t="n"/>
    </row>
    <row r="305">
      <c r="A305" s="90" t="n"/>
      <c r="B305" s="28" t="n"/>
      <c r="C305" s="28" t="n"/>
      <c r="D305" s="28" t="n"/>
      <c r="E305" s="28" t="n"/>
      <c r="F305" s="28" t="n"/>
      <c r="G305" s="28" t="n"/>
      <c r="H305" s="28" t="n"/>
    </row>
    <row r="306">
      <c r="A306" s="90" t="n"/>
      <c r="B306" s="28" t="n"/>
      <c r="C306" s="28" t="n"/>
      <c r="D306" s="28" t="n"/>
      <c r="E306" s="28" t="n"/>
      <c r="F306" s="28" t="n"/>
      <c r="G306" s="28" t="n"/>
      <c r="H306" s="28" t="n"/>
    </row>
    <row r="307">
      <c r="A307" s="90" t="n"/>
      <c r="B307" s="28" t="n"/>
      <c r="C307" s="28" t="n"/>
      <c r="D307" s="28" t="n"/>
      <c r="E307" s="28" t="n"/>
      <c r="F307" s="28" t="n"/>
      <c r="G307" s="28" t="n"/>
      <c r="H307" s="28" t="n"/>
    </row>
    <row r="308">
      <c r="A308" s="90" t="n"/>
      <c r="B308" s="28" t="n"/>
      <c r="C308" s="28" t="n"/>
      <c r="D308" s="28" t="n"/>
      <c r="E308" s="28" t="n"/>
      <c r="F308" s="28" t="n"/>
      <c r="G308" s="28" t="n"/>
      <c r="H308" s="28" t="n"/>
    </row>
    <row r="309">
      <c r="A309" s="90" t="n"/>
      <c r="B309" s="28" t="n"/>
      <c r="C309" s="28" t="n"/>
      <c r="D309" s="28" t="n"/>
      <c r="E309" s="28" t="n"/>
      <c r="F309" s="28" t="n"/>
      <c r="G309" s="28" t="n"/>
      <c r="H309" s="28" t="n"/>
    </row>
    <row r="310">
      <c r="A310" s="90" t="n"/>
      <c r="B310" s="28" t="n"/>
      <c r="C310" s="28" t="n"/>
      <c r="D310" s="28" t="n"/>
      <c r="E310" s="28" t="n"/>
      <c r="F310" s="28" t="n"/>
      <c r="G310" s="28" t="n"/>
      <c r="H310" s="28" t="n"/>
    </row>
    <row r="311">
      <c r="A311" s="90" t="n"/>
      <c r="B311" s="28" t="n"/>
      <c r="C311" s="28" t="n"/>
      <c r="D311" s="28" t="n"/>
      <c r="E311" s="28" t="n"/>
      <c r="F311" s="28" t="n"/>
      <c r="G311" s="28" t="n"/>
      <c r="H311" s="28" t="n"/>
    </row>
    <row r="312">
      <c r="A312" s="90" t="n"/>
      <c r="B312" s="28" t="n"/>
      <c r="C312" s="28" t="n"/>
      <c r="D312" s="28" t="n"/>
      <c r="E312" s="28" t="n"/>
      <c r="F312" s="28" t="n"/>
      <c r="G312" s="28" t="n"/>
      <c r="H312" s="28" t="n"/>
    </row>
    <row r="313">
      <c r="A313" s="90" t="n"/>
      <c r="B313" s="28" t="n"/>
      <c r="C313" s="28" t="n"/>
      <c r="D313" s="28" t="n"/>
      <c r="E313" s="28" t="n"/>
      <c r="F313" s="28" t="n"/>
      <c r="G313" s="28" t="n"/>
      <c r="H313" s="28" t="n"/>
    </row>
    <row r="314">
      <c r="A314" s="90" t="n"/>
      <c r="B314" s="28" t="n"/>
      <c r="C314" s="28" t="n"/>
      <c r="D314" s="28" t="n"/>
      <c r="E314" s="28" t="n"/>
      <c r="F314" s="28" t="n"/>
      <c r="G314" s="28" t="n"/>
      <c r="H314" s="28" t="n"/>
    </row>
    <row r="315">
      <c r="A315" s="90" t="n"/>
      <c r="B315" s="28" t="n"/>
      <c r="C315" s="28" t="n"/>
      <c r="D315" s="28" t="n"/>
      <c r="E315" s="28" t="n"/>
      <c r="F315" s="28" t="n"/>
      <c r="G315" s="28" t="n"/>
      <c r="H315" s="28" t="n"/>
    </row>
    <row r="316">
      <c r="A316" s="90" t="n"/>
      <c r="B316" s="28" t="n"/>
      <c r="C316" s="28" t="n"/>
      <c r="D316" s="28" t="n"/>
      <c r="E316" s="28" t="n"/>
      <c r="F316" s="28" t="n"/>
      <c r="G316" s="28" t="n"/>
      <c r="H316" s="28" t="n"/>
    </row>
    <row r="317">
      <c r="A317" s="90" t="n"/>
      <c r="B317" s="28" t="n"/>
      <c r="C317" s="28" t="n"/>
      <c r="D317" s="28" t="n"/>
      <c r="E317" s="28" t="n"/>
      <c r="F317" s="28" t="n"/>
      <c r="G317" s="28" t="n"/>
      <c r="H317" s="28" t="n"/>
    </row>
    <row r="318">
      <c r="A318" s="90" t="n"/>
      <c r="B318" s="28" t="n"/>
      <c r="C318" s="28" t="n"/>
      <c r="D318" s="28" t="n"/>
      <c r="E318" s="28" t="n"/>
      <c r="F318" s="28" t="n"/>
      <c r="G318" s="28" t="n"/>
      <c r="H318" s="28" t="n"/>
    </row>
    <row r="319">
      <c r="A319" s="90" t="n"/>
      <c r="B319" s="28" t="n"/>
      <c r="C319" s="28" t="n"/>
      <c r="D319" s="28" t="n"/>
      <c r="E319" s="28" t="n"/>
      <c r="F319" s="28" t="n"/>
      <c r="G319" s="28" t="n"/>
      <c r="H319" s="28" t="n"/>
    </row>
    <row r="320">
      <c r="A320" s="90" t="n"/>
      <c r="B320" s="28" t="n"/>
      <c r="C320" s="28" t="n"/>
      <c r="D320" s="28" t="n"/>
      <c r="E320" s="28" t="n"/>
      <c r="F320" s="28" t="n"/>
      <c r="G320" s="28" t="n"/>
      <c r="H320" s="28" t="n"/>
    </row>
    <row r="321">
      <c r="A321" s="90" t="n"/>
      <c r="B321" s="28" t="n"/>
      <c r="C321" s="28" t="n"/>
      <c r="D321" s="28" t="n"/>
      <c r="E321" s="28" t="n"/>
      <c r="F321" s="28" t="n"/>
      <c r="G321" s="28" t="n"/>
      <c r="H321" s="28" t="n"/>
    </row>
    <row r="322">
      <c r="A322" s="90" t="n"/>
      <c r="B322" s="28" t="n"/>
      <c r="C322" s="28" t="n"/>
      <c r="D322" s="28" t="n"/>
      <c r="E322" s="28" t="n"/>
      <c r="F322" s="28" t="n"/>
      <c r="G322" s="28" t="n"/>
      <c r="H322" s="28" t="n"/>
    </row>
    <row r="323">
      <c r="A323" s="90" t="n"/>
      <c r="B323" s="28" t="n"/>
      <c r="C323" s="28" t="n"/>
      <c r="D323" s="28" t="n"/>
      <c r="E323" s="28" t="n"/>
      <c r="F323" s="28" t="n"/>
      <c r="G323" s="28" t="n"/>
      <c r="H323" s="28" t="n"/>
    </row>
    <row r="324">
      <c r="A324" s="90" t="n"/>
      <c r="B324" s="28" t="n"/>
      <c r="C324" s="28" t="n"/>
      <c r="D324" s="28" t="n"/>
      <c r="E324" s="28" t="n"/>
      <c r="F324" s="28" t="n"/>
      <c r="G324" s="28" t="n"/>
      <c r="H324" s="28" t="n"/>
    </row>
    <row r="325">
      <c r="A325" s="90" t="n"/>
      <c r="B325" s="28" t="n"/>
      <c r="C325" s="28" t="n"/>
      <c r="D325" s="28" t="n"/>
      <c r="E325" s="28" t="n"/>
      <c r="F325" s="28" t="n"/>
      <c r="G325" s="28" t="n"/>
      <c r="H325" s="28" t="n"/>
    </row>
    <row r="326">
      <c r="A326" s="90" t="n"/>
      <c r="B326" s="28" t="n"/>
      <c r="C326" s="28" t="n"/>
      <c r="D326" s="28" t="n"/>
      <c r="E326" s="28" t="n"/>
      <c r="F326" s="28" t="n"/>
      <c r="G326" s="28" t="n"/>
      <c r="H326" s="28" t="n"/>
    </row>
    <row r="327">
      <c r="A327" s="90" t="n"/>
      <c r="B327" s="28" t="n"/>
      <c r="C327" s="28" t="n"/>
      <c r="D327" s="28" t="n"/>
      <c r="E327" s="28" t="n"/>
      <c r="F327" s="28" t="n"/>
      <c r="G327" s="28" t="n"/>
      <c r="H327" s="28" t="n"/>
    </row>
    <row r="328">
      <c r="A328" s="90" t="n"/>
      <c r="B328" s="28" t="n"/>
      <c r="C328" s="28" t="n"/>
      <c r="D328" s="28" t="n"/>
      <c r="E328" s="28" t="n"/>
      <c r="F328" s="28" t="n"/>
      <c r="G328" s="28" t="n"/>
      <c r="H328" s="28" t="n"/>
    </row>
    <row r="329">
      <c r="A329" s="90" t="n"/>
      <c r="B329" s="28" t="n"/>
      <c r="C329" s="28" t="n"/>
      <c r="D329" s="28" t="n"/>
      <c r="E329" s="28" t="n"/>
      <c r="F329" s="28" t="n"/>
      <c r="G329" s="28" t="n"/>
      <c r="H329" s="28" t="n"/>
    </row>
    <row r="330">
      <c r="A330" s="90" t="n"/>
      <c r="B330" s="28" t="n"/>
      <c r="C330" s="28" t="n"/>
      <c r="D330" s="28" t="n"/>
      <c r="E330" s="28" t="n"/>
      <c r="F330" s="28" t="n"/>
      <c r="G330" s="28" t="n"/>
      <c r="H330" s="28" t="n"/>
    </row>
    <row r="331">
      <c r="A331" s="90" t="n"/>
      <c r="B331" s="28" t="n"/>
      <c r="C331" s="28" t="n"/>
      <c r="D331" s="28" t="n"/>
      <c r="E331" s="28" t="n"/>
      <c r="F331" s="28" t="n"/>
      <c r="G331" s="28" t="n"/>
      <c r="H331" s="28" t="n"/>
    </row>
    <row r="332">
      <c r="A332" s="90" t="n"/>
      <c r="B332" s="28" t="n"/>
      <c r="C332" s="28" t="n"/>
      <c r="D332" s="28" t="n"/>
      <c r="E332" s="28" t="n"/>
      <c r="F332" s="28" t="n"/>
      <c r="G332" s="28" t="n"/>
      <c r="H332" s="28" t="n"/>
    </row>
    <row r="333">
      <c r="A333" s="90" t="n"/>
      <c r="B333" s="28" t="n"/>
      <c r="C333" s="28" t="n"/>
      <c r="D333" s="28" t="n"/>
      <c r="E333" s="28" t="n"/>
      <c r="F333" s="28" t="n"/>
      <c r="G333" s="28" t="n"/>
      <c r="H333" s="28" t="n"/>
    </row>
    <row r="334">
      <c r="A334" s="90" t="n"/>
      <c r="B334" s="28" t="n"/>
      <c r="C334" s="28" t="n"/>
      <c r="D334" s="28" t="n"/>
      <c r="E334" s="28" t="n"/>
      <c r="F334" s="28" t="n"/>
      <c r="G334" s="28" t="n"/>
      <c r="H334" s="28" t="n"/>
    </row>
    <row r="335">
      <c r="A335" s="90" t="n"/>
      <c r="B335" s="28" t="n"/>
      <c r="C335" s="28" t="n"/>
      <c r="D335" s="28" t="n"/>
      <c r="E335" s="28" t="n"/>
      <c r="F335" s="28" t="n"/>
      <c r="G335" s="28" t="n"/>
      <c r="H335" s="28" t="n"/>
    </row>
    <row r="336">
      <c r="A336" s="90" t="n"/>
      <c r="B336" s="28" t="n"/>
      <c r="C336" s="28" t="n"/>
      <c r="D336" s="28" t="n"/>
      <c r="E336" s="28" t="n"/>
      <c r="F336" s="28" t="n"/>
      <c r="G336" s="28" t="n"/>
      <c r="H336" s="28" t="n"/>
    </row>
    <row r="337">
      <c r="A337" s="90" t="n"/>
      <c r="B337" s="28" t="n"/>
      <c r="C337" s="28" t="n"/>
      <c r="D337" s="28" t="n"/>
      <c r="E337" s="28" t="n"/>
      <c r="F337" s="28" t="n"/>
      <c r="G337" s="28" t="n"/>
      <c r="H337" s="28" t="n"/>
    </row>
    <row r="338">
      <c r="A338" s="90" t="n"/>
      <c r="B338" s="28" t="n"/>
      <c r="C338" s="28" t="n"/>
      <c r="D338" s="28" t="n"/>
      <c r="E338" s="28" t="n"/>
      <c r="F338" s="28" t="n"/>
      <c r="G338" s="28" t="n"/>
      <c r="H338" s="28" t="n"/>
    </row>
    <row r="339">
      <c r="A339" s="90" t="n"/>
      <c r="B339" s="28" t="n"/>
      <c r="C339" s="28" t="n"/>
      <c r="D339" s="28" t="n"/>
      <c r="E339" s="28" t="n"/>
      <c r="F339" s="28" t="n"/>
      <c r="G339" s="28" t="n"/>
      <c r="H339" s="28" t="n"/>
    </row>
    <row r="340">
      <c r="A340" s="90" t="n"/>
      <c r="B340" s="28" t="n"/>
      <c r="C340" s="28" t="n"/>
      <c r="D340" s="28" t="n"/>
      <c r="E340" s="28" t="n"/>
      <c r="F340" s="28" t="n"/>
      <c r="G340" s="28" t="n"/>
      <c r="H340" s="28" t="n"/>
    </row>
    <row r="341">
      <c r="A341" s="90" t="n"/>
      <c r="B341" s="28" t="n"/>
      <c r="C341" s="28" t="n"/>
      <c r="D341" s="28" t="n"/>
      <c r="E341" s="28" t="n"/>
      <c r="F341" s="28" t="n"/>
      <c r="G341" s="28" t="n"/>
      <c r="H341" s="28" t="n"/>
    </row>
    <row r="342">
      <c r="A342" s="90" t="n"/>
      <c r="B342" s="28" t="n"/>
      <c r="C342" s="28" t="n"/>
      <c r="D342" s="28" t="n"/>
      <c r="E342" s="28" t="n"/>
      <c r="F342" s="28" t="n"/>
      <c r="G342" s="28" t="n"/>
      <c r="H342" s="28" t="n"/>
    </row>
    <row r="343">
      <c r="A343" s="90" t="n"/>
      <c r="B343" s="28" t="n"/>
      <c r="C343" s="28" t="n"/>
      <c r="D343" s="28" t="n"/>
      <c r="E343" s="28" t="n"/>
      <c r="F343" s="28" t="n"/>
      <c r="G343" s="28" t="n"/>
      <c r="H343" s="28" t="n"/>
    </row>
    <row r="344">
      <c r="A344" s="90" t="n"/>
      <c r="B344" s="28" t="n"/>
      <c r="C344" s="28" t="n"/>
      <c r="D344" s="28" t="n"/>
      <c r="E344" s="28" t="n"/>
      <c r="F344" s="28" t="n"/>
      <c r="G344" s="28" t="n"/>
      <c r="H344" s="28" t="n"/>
    </row>
    <row r="345">
      <c r="A345" s="90" t="n"/>
      <c r="B345" s="28" t="n"/>
      <c r="C345" s="28" t="n"/>
      <c r="D345" s="28" t="n"/>
      <c r="E345" s="28" t="n"/>
      <c r="F345" s="28" t="n"/>
      <c r="G345" s="28" t="n"/>
      <c r="H345" s="28" t="n"/>
    </row>
    <row r="346">
      <c r="A346" s="90" t="n"/>
      <c r="B346" s="28" t="n"/>
      <c r="C346" s="28" t="n"/>
      <c r="D346" s="28" t="n"/>
      <c r="E346" s="28" t="n"/>
      <c r="F346" s="28" t="n"/>
      <c r="G346" s="28" t="n"/>
      <c r="H346" s="28" t="n"/>
    </row>
    <row r="347">
      <c r="A347" s="90" t="n"/>
      <c r="B347" s="28" t="n"/>
      <c r="C347" s="28" t="n"/>
      <c r="D347" s="28" t="n"/>
      <c r="E347" s="28" t="n"/>
      <c r="F347" s="28" t="n"/>
      <c r="G347" s="28" t="n"/>
      <c r="H347" s="28" t="n"/>
    </row>
    <row r="348">
      <c r="A348" s="90" t="n"/>
      <c r="B348" s="28" t="n"/>
      <c r="C348" s="28" t="n"/>
      <c r="D348" s="28" t="n"/>
      <c r="E348" s="28" t="n"/>
      <c r="F348" s="28" t="n"/>
      <c r="G348" s="28" t="n"/>
      <c r="H348" s="28" t="n"/>
    </row>
    <row r="349">
      <c r="A349" s="90" t="n"/>
      <c r="B349" s="28" t="n"/>
      <c r="C349" s="28" t="n"/>
      <c r="D349" s="28" t="n"/>
      <c r="E349" s="28" t="n"/>
      <c r="F349" s="28" t="n"/>
      <c r="G349" s="28" t="n"/>
      <c r="H349" s="28" t="n"/>
    </row>
    <row r="350">
      <c r="A350" s="90" t="n"/>
      <c r="B350" s="28" t="n"/>
      <c r="C350" s="28" t="n"/>
      <c r="D350" s="28" t="n"/>
      <c r="E350" s="28" t="n"/>
      <c r="F350" s="28" t="n"/>
      <c r="G350" s="28" t="n"/>
      <c r="H350" s="28" t="n"/>
    </row>
    <row r="351">
      <c r="A351" s="90" t="n"/>
      <c r="B351" s="28" t="n"/>
      <c r="C351" s="28" t="n"/>
      <c r="D351" s="28" t="n"/>
      <c r="E351" s="28" t="n"/>
      <c r="F351" s="28" t="n"/>
      <c r="G351" s="28" t="n"/>
      <c r="H351" s="28" t="n"/>
    </row>
    <row r="352">
      <c r="A352" s="90" t="n"/>
      <c r="B352" s="28" t="n"/>
      <c r="C352" s="28" t="n"/>
      <c r="D352" s="28" t="n"/>
      <c r="E352" s="28" t="n"/>
      <c r="F352" s="28" t="n"/>
      <c r="G352" s="28" t="n"/>
      <c r="H352" s="28" t="n"/>
    </row>
    <row r="353">
      <c r="A353" s="90" t="n"/>
      <c r="B353" s="28" t="n"/>
      <c r="C353" s="28" t="n"/>
      <c r="D353" s="28" t="n"/>
      <c r="E353" s="28" t="n"/>
      <c r="F353" s="28" t="n"/>
      <c r="G353" s="28" t="n"/>
      <c r="H353" s="28" t="n"/>
    </row>
    <row r="354">
      <c r="A354" s="90" t="n"/>
      <c r="B354" s="28" t="n"/>
      <c r="C354" s="28" t="n"/>
      <c r="D354" s="28" t="n"/>
      <c r="E354" s="28" t="n"/>
      <c r="F354" s="28" t="n"/>
      <c r="G354" s="28" t="n"/>
      <c r="H354" s="28" t="n"/>
    </row>
    <row r="355">
      <c r="A355" s="90" t="n"/>
      <c r="B355" s="28" t="n"/>
      <c r="C355" s="28" t="n"/>
      <c r="D355" s="28" t="n"/>
      <c r="E355" s="28" t="n"/>
      <c r="F355" s="28" t="n"/>
      <c r="G355" s="28" t="n"/>
      <c r="H355" s="28" t="n"/>
    </row>
    <row r="356">
      <c r="A356" s="90" t="n"/>
      <c r="B356" s="28" t="n"/>
      <c r="C356" s="28" t="n"/>
      <c r="D356" s="28" t="n"/>
      <c r="E356" s="28" t="n"/>
      <c r="F356" s="28" t="n"/>
      <c r="G356" s="28" t="n"/>
      <c r="H356" s="28" t="n"/>
    </row>
    <row r="357">
      <c r="A357" s="90" t="n"/>
      <c r="B357" s="28" t="n"/>
      <c r="C357" s="28" t="n"/>
      <c r="D357" s="28" t="n"/>
      <c r="E357" s="28" t="n"/>
      <c r="F357" s="28" t="n"/>
      <c r="G357" s="28" t="n"/>
      <c r="H357" s="28" t="n"/>
    </row>
    <row r="358">
      <c r="A358" s="90" t="n"/>
      <c r="B358" s="28" t="n"/>
      <c r="C358" s="28" t="n"/>
      <c r="D358" s="28" t="n"/>
      <c r="E358" s="28" t="n"/>
      <c r="F358" s="28" t="n"/>
      <c r="G358" s="28" t="n"/>
      <c r="H358" s="28" t="n"/>
    </row>
    <row r="359">
      <c r="A359" s="90" t="n"/>
      <c r="B359" s="28" t="n"/>
      <c r="C359" s="28" t="n"/>
      <c r="D359" s="28" t="n"/>
      <c r="E359" s="28" t="n"/>
      <c r="F359" s="28" t="n"/>
      <c r="G359" s="28" t="n"/>
      <c r="H359" s="28" t="n"/>
    </row>
    <row r="360">
      <c r="A360" s="90" t="n"/>
      <c r="B360" s="28" t="n"/>
      <c r="C360" s="28" t="n"/>
      <c r="D360" s="28" t="n"/>
      <c r="E360" s="28" t="n"/>
      <c r="F360" s="28" t="n"/>
      <c r="G360" s="28" t="n"/>
      <c r="H360" s="28" t="n"/>
    </row>
    <row r="361">
      <c r="A361" s="90" t="n"/>
      <c r="B361" s="28" t="n"/>
      <c r="C361" s="28" t="n"/>
      <c r="D361" s="28" t="n"/>
      <c r="E361" s="28" t="n"/>
      <c r="F361" s="28" t="n"/>
      <c r="G361" s="28" t="n"/>
      <c r="H361" s="28" t="n"/>
    </row>
    <row r="362">
      <c r="A362" s="90" t="n"/>
      <c r="B362" s="28" t="n"/>
      <c r="C362" s="28" t="n"/>
      <c r="D362" s="28" t="n"/>
      <c r="E362" s="28" t="n"/>
      <c r="F362" s="28" t="n"/>
      <c r="G362" s="28" t="n"/>
      <c r="H362" s="28" t="n"/>
    </row>
    <row r="363">
      <c r="A363" s="90" t="n"/>
      <c r="B363" s="28" t="n"/>
      <c r="C363" s="28" t="n"/>
      <c r="D363" s="28" t="n"/>
      <c r="E363" s="28" t="n"/>
      <c r="F363" s="28" t="n"/>
      <c r="G363" s="28" t="n"/>
      <c r="H363" s="28" t="n"/>
    </row>
    <row r="364">
      <c r="A364" s="90" t="n"/>
      <c r="B364" s="28" t="n"/>
      <c r="C364" s="28" t="n"/>
      <c r="D364" s="28" t="n"/>
      <c r="E364" s="28" t="n"/>
      <c r="F364" s="28" t="n"/>
      <c r="G364" s="28" t="n"/>
      <c r="H364" s="28" t="n"/>
    </row>
    <row r="365">
      <c r="A365" s="90" t="n"/>
      <c r="B365" s="28" t="n"/>
      <c r="C365" s="28" t="n"/>
      <c r="D365" s="28" t="n"/>
      <c r="E365" s="28" t="n"/>
      <c r="F365" s="28" t="n"/>
      <c r="G365" s="28" t="n"/>
      <c r="H365" s="28" t="n"/>
    </row>
    <row r="366">
      <c r="A366" s="90" t="n"/>
      <c r="B366" s="28" t="n"/>
      <c r="C366" s="28" t="n"/>
      <c r="D366" s="28" t="n"/>
      <c r="E366" s="28" t="n"/>
      <c r="F366" s="28" t="n"/>
      <c r="G366" s="28" t="n"/>
      <c r="H366" s="28" t="n"/>
    </row>
    <row r="367">
      <c r="A367" s="90" t="n"/>
      <c r="B367" s="28" t="n"/>
      <c r="C367" s="28" t="n"/>
      <c r="D367" s="28" t="n"/>
      <c r="E367" s="28" t="n"/>
      <c r="F367" s="28" t="n"/>
      <c r="G367" s="28" t="n"/>
      <c r="H367" s="28" t="n"/>
    </row>
    <row r="368">
      <c r="A368" s="90" t="n"/>
      <c r="B368" s="28" t="n"/>
      <c r="C368" s="28" t="n"/>
      <c r="D368" s="28" t="n"/>
      <c r="E368" s="28" t="n"/>
      <c r="F368" s="28" t="n"/>
      <c r="G368" s="28" t="n"/>
      <c r="H368" s="28" t="n"/>
    </row>
    <row r="369">
      <c r="A369" s="90" t="n"/>
      <c r="B369" s="28" t="n"/>
      <c r="C369" s="28" t="n"/>
      <c r="D369" s="28" t="n"/>
      <c r="E369" s="28" t="n"/>
      <c r="F369" s="28" t="n"/>
      <c r="G369" s="28" t="n"/>
      <c r="H369" s="28" t="n"/>
    </row>
    <row r="370">
      <c r="A370" s="90" t="n"/>
      <c r="B370" s="28" t="n"/>
      <c r="C370" s="28" t="n"/>
      <c r="D370" s="28" t="n"/>
      <c r="E370" s="28" t="n"/>
      <c r="F370" s="28" t="n"/>
      <c r="G370" s="28" t="n"/>
      <c r="H370" s="28" t="n"/>
    </row>
    <row r="371">
      <c r="A371" s="90" t="n"/>
      <c r="B371" s="28" t="n"/>
      <c r="C371" s="28" t="n"/>
      <c r="D371" s="28" t="n"/>
      <c r="E371" s="28" t="n"/>
      <c r="F371" s="28" t="n"/>
      <c r="G371" s="28" t="n"/>
      <c r="H371" s="28" t="n"/>
    </row>
    <row r="372">
      <c r="A372" s="90" t="n"/>
      <c r="B372" s="28" t="n"/>
      <c r="C372" s="28" t="n"/>
      <c r="D372" s="28" t="n"/>
      <c r="E372" s="28" t="n"/>
      <c r="F372" s="28" t="n"/>
      <c r="G372" s="28" t="n"/>
      <c r="H372" s="28" t="n"/>
    </row>
    <row r="373">
      <c r="A373" s="90" t="n"/>
      <c r="B373" s="28" t="n"/>
      <c r="C373" s="28" t="n"/>
      <c r="D373" s="28" t="n"/>
      <c r="E373" s="28" t="n"/>
      <c r="F373" s="28" t="n"/>
      <c r="G373" s="28" t="n"/>
      <c r="H373" s="28" t="n"/>
    </row>
    <row r="374">
      <c r="A374" s="90" t="n"/>
      <c r="B374" s="28" t="n"/>
      <c r="C374" s="28" t="n"/>
      <c r="D374" s="28" t="n"/>
      <c r="E374" s="28" t="n"/>
      <c r="F374" s="28" t="n"/>
      <c r="G374" s="28" t="n"/>
      <c r="H374" s="28" t="n"/>
    </row>
    <row r="375">
      <c r="A375" s="90" t="n"/>
      <c r="B375" s="28" t="n"/>
      <c r="C375" s="28" t="n"/>
      <c r="D375" s="28" t="n"/>
      <c r="E375" s="28" t="n"/>
      <c r="F375" s="28" t="n"/>
      <c r="G375" s="28" t="n"/>
      <c r="H375" s="28" t="n"/>
    </row>
    <row r="376">
      <c r="A376" s="90" t="n"/>
      <c r="B376" s="28" t="n"/>
      <c r="C376" s="28" t="n"/>
      <c r="D376" s="28" t="n"/>
      <c r="E376" s="28" t="n"/>
      <c r="F376" s="28" t="n"/>
      <c r="G376" s="28" t="n"/>
      <c r="H376" s="28" t="n"/>
    </row>
    <row r="377">
      <c r="A377" s="90" t="n"/>
      <c r="B377" s="28" t="n"/>
      <c r="C377" s="28" t="n"/>
      <c r="D377" s="28" t="n"/>
      <c r="E377" s="28" t="n"/>
      <c r="F377" s="28" t="n"/>
      <c r="G377" s="28" t="n"/>
      <c r="H377" s="28" t="n"/>
    </row>
    <row r="378">
      <c r="A378" s="90" t="n"/>
      <c r="B378" s="28" t="n"/>
      <c r="C378" s="28" t="n"/>
      <c r="D378" s="28" t="n"/>
      <c r="E378" s="28" t="n"/>
      <c r="F378" s="28" t="n"/>
      <c r="G378" s="28" t="n"/>
      <c r="H378" s="28" t="n"/>
    </row>
    <row r="379">
      <c r="A379" s="90" t="n"/>
      <c r="B379" s="28" t="n"/>
      <c r="C379" s="28" t="n"/>
      <c r="D379" s="28" t="n"/>
      <c r="E379" s="28" t="n"/>
      <c r="F379" s="28" t="n"/>
      <c r="G379" s="28" t="n"/>
      <c r="H379" s="28" t="n"/>
    </row>
    <row r="380">
      <c r="A380" s="90" t="n"/>
      <c r="B380" s="28" t="n"/>
      <c r="C380" s="28" t="n"/>
      <c r="D380" s="28" t="n"/>
      <c r="E380" s="28" t="n"/>
      <c r="F380" s="28" t="n"/>
      <c r="G380" s="28" t="n"/>
      <c r="H380" s="28" t="n"/>
    </row>
    <row r="381">
      <c r="A381" s="90" t="n"/>
      <c r="B381" s="28" t="n"/>
      <c r="C381" s="28" t="n"/>
      <c r="D381" s="28" t="n"/>
      <c r="E381" s="28" t="n"/>
      <c r="F381" s="28" t="n"/>
      <c r="G381" s="28" t="n"/>
      <c r="H381" s="28" t="n"/>
    </row>
    <row r="382">
      <c r="A382" s="90" t="n"/>
      <c r="B382" s="28" t="n"/>
      <c r="C382" s="28" t="n"/>
      <c r="D382" s="28" t="n"/>
      <c r="E382" s="28" t="n"/>
      <c r="F382" s="28" t="n"/>
      <c r="G382" s="28" t="n"/>
      <c r="H382" s="28" t="n"/>
    </row>
    <row r="383">
      <c r="A383" s="90" t="n"/>
      <c r="B383" s="28" t="n"/>
      <c r="C383" s="28" t="n"/>
      <c r="D383" s="28" t="n"/>
      <c r="E383" s="28" t="n"/>
      <c r="F383" s="28" t="n"/>
      <c r="G383" s="28" t="n"/>
      <c r="H383" s="28" t="n"/>
    </row>
    <row r="384">
      <c r="A384" s="90" t="n"/>
      <c r="B384" s="28" t="n"/>
      <c r="C384" s="28" t="n"/>
      <c r="D384" s="28" t="n"/>
      <c r="E384" s="28" t="n"/>
      <c r="F384" s="28" t="n"/>
      <c r="G384" s="28" t="n"/>
      <c r="H384" s="28" t="n"/>
    </row>
    <row r="385">
      <c r="A385" s="90" t="n"/>
      <c r="B385" s="28" t="n"/>
      <c r="C385" s="28" t="n"/>
      <c r="D385" s="28" t="n"/>
      <c r="E385" s="28" t="n"/>
      <c r="F385" s="28" t="n"/>
      <c r="G385" s="28" t="n"/>
      <c r="H385" s="28" t="n"/>
    </row>
    <row r="386">
      <c r="A386" s="90" t="n"/>
      <c r="B386" s="28" t="n"/>
      <c r="C386" s="28" t="n"/>
      <c r="D386" s="28" t="n"/>
      <c r="E386" s="28" t="n"/>
      <c r="F386" s="28" t="n"/>
      <c r="G386" s="28" t="n"/>
      <c r="H386" s="28" t="n"/>
    </row>
    <row r="387">
      <c r="A387" s="90" t="n"/>
      <c r="B387" s="28" t="n"/>
      <c r="C387" s="28" t="n"/>
      <c r="D387" s="28" t="n"/>
      <c r="E387" s="28" t="n"/>
      <c r="F387" s="28" t="n"/>
      <c r="G387" s="28" t="n"/>
      <c r="H387" s="28" t="n"/>
    </row>
    <row r="388">
      <c r="A388" s="90" t="n"/>
      <c r="B388" s="28" t="n"/>
      <c r="C388" s="28" t="n"/>
      <c r="D388" s="28" t="n"/>
      <c r="E388" s="28" t="n"/>
      <c r="F388" s="28" t="n"/>
      <c r="G388" s="28" t="n"/>
      <c r="H388" s="28" t="n"/>
    </row>
    <row r="389">
      <c r="A389" s="90" t="n"/>
      <c r="B389" s="28" t="n"/>
      <c r="C389" s="28" t="n"/>
      <c r="D389" s="28" t="n"/>
      <c r="E389" s="28" t="n"/>
      <c r="F389" s="28" t="n"/>
      <c r="G389" s="28" t="n"/>
      <c r="H389" s="28" t="n"/>
    </row>
    <row r="390">
      <c r="A390" s="90" t="n"/>
      <c r="B390" s="28" t="n"/>
      <c r="C390" s="28" t="n"/>
      <c r="D390" s="28" t="n"/>
      <c r="E390" s="28" t="n"/>
      <c r="F390" s="28" t="n"/>
      <c r="G390" s="28" t="n"/>
      <c r="H390" s="28" t="n"/>
    </row>
    <row r="391">
      <c r="A391" s="90" t="n"/>
      <c r="B391" s="28" t="n"/>
      <c r="C391" s="28" t="n"/>
      <c r="D391" s="28" t="n"/>
      <c r="E391" s="28" t="n"/>
      <c r="F391" s="28" t="n"/>
      <c r="G391" s="28" t="n"/>
      <c r="H391" s="28" t="n"/>
    </row>
    <row r="392">
      <c r="A392" s="90" t="n"/>
      <c r="B392" s="28" t="n"/>
      <c r="C392" s="28" t="n"/>
      <c r="D392" s="28" t="n"/>
      <c r="E392" s="28" t="n"/>
      <c r="F392" s="28" t="n"/>
      <c r="G392" s="28" t="n"/>
      <c r="H392" s="28" t="n"/>
    </row>
    <row r="393">
      <c r="A393" s="90" t="n"/>
      <c r="B393" s="28" t="n"/>
      <c r="C393" s="28" t="n"/>
      <c r="D393" s="28" t="n"/>
      <c r="E393" s="28" t="n"/>
      <c r="F393" s="28" t="n"/>
      <c r="G393" s="28" t="n"/>
      <c r="H393" s="28" t="n"/>
    </row>
    <row r="394">
      <c r="A394" s="90" t="n"/>
      <c r="B394" s="28" t="n"/>
      <c r="C394" s="28" t="n"/>
      <c r="D394" s="28" t="n"/>
      <c r="E394" s="28" t="n"/>
      <c r="F394" s="28" t="n"/>
      <c r="G394" s="28" t="n"/>
      <c r="H394" s="28" t="n"/>
    </row>
    <row r="395">
      <c r="A395" s="90" t="n"/>
      <c r="B395" s="28" t="n"/>
      <c r="C395" s="28" t="n"/>
      <c r="D395" s="28" t="n"/>
      <c r="E395" s="28" t="n"/>
      <c r="F395" s="28" t="n"/>
      <c r="G395" s="28" t="n"/>
      <c r="H395" s="28" t="n"/>
    </row>
    <row r="396">
      <c r="A396" s="90" t="n"/>
      <c r="B396" s="28" t="n"/>
      <c r="C396" s="28" t="n"/>
      <c r="D396" s="28" t="n"/>
      <c r="E396" s="28" t="n"/>
      <c r="F396" s="28" t="n"/>
      <c r="G396" s="28" t="n"/>
      <c r="H396" s="28" t="n"/>
    </row>
    <row r="397">
      <c r="A397" s="90" t="n"/>
      <c r="B397" s="28" t="n"/>
      <c r="C397" s="28" t="n"/>
      <c r="D397" s="28" t="n"/>
      <c r="E397" s="28" t="n"/>
      <c r="F397" s="28" t="n"/>
      <c r="G397" s="28" t="n"/>
      <c r="H397" s="28" t="n"/>
    </row>
    <row r="398">
      <c r="A398" s="90" t="n"/>
      <c r="B398" s="28" t="n"/>
      <c r="C398" s="28" t="n"/>
      <c r="D398" s="28" t="n"/>
      <c r="E398" s="28" t="n"/>
      <c r="F398" s="28" t="n"/>
      <c r="G398" s="28" t="n"/>
      <c r="H398" s="28" t="n"/>
    </row>
    <row r="399">
      <c r="A399" s="90" t="n"/>
      <c r="B399" s="28" t="n"/>
      <c r="C399" s="28" t="n"/>
      <c r="D399" s="28" t="n"/>
      <c r="E399" s="28" t="n"/>
      <c r="F399" s="28" t="n"/>
      <c r="G399" s="28" t="n"/>
      <c r="H399" s="28" t="n"/>
    </row>
    <row r="400">
      <c r="A400" s="90" t="n"/>
      <c r="B400" s="28" t="n"/>
      <c r="C400" s="28" t="n"/>
      <c r="D400" s="28" t="n"/>
      <c r="E400" s="28" t="n"/>
      <c r="F400" s="28" t="n"/>
      <c r="G400" s="28" t="n"/>
      <c r="H400" s="28" t="n"/>
    </row>
    <row r="401">
      <c r="A401" s="90" t="n"/>
      <c r="B401" s="28" t="n"/>
      <c r="C401" s="28" t="n"/>
      <c r="D401" s="28" t="n"/>
      <c r="E401" s="28" t="n"/>
      <c r="F401" s="28" t="n"/>
      <c r="G401" s="28" t="n"/>
      <c r="H401" s="28" t="n"/>
    </row>
    <row r="402">
      <c r="A402" s="90" t="n"/>
      <c r="B402" s="28" t="n"/>
      <c r="C402" s="28" t="n"/>
      <c r="D402" s="28" t="n"/>
      <c r="E402" s="28" t="n"/>
      <c r="F402" s="28" t="n"/>
      <c r="G402" s="28" t="n"/>
      <c r="H402" s="28" t="n"/>
    </row>
    <row r="403">
      <c r="A403" s="90" t="n"/>
      <c r="B403" s="28" t="n"/>
      <c r="C403" s="28" t="n"/>
      <c r="D403" s="28" t="n"/>
      <c r="E403" s="28" t="n"/>
      <c r="F403" s="28" t="n"/>
      <c r="G403" s="28" t="n"/>
      <c r="H403" s="28" t="n"/>
    </row>
    <row r="404">
      <c r="A404" s="90" t="n"/>
      <c r="B404" s="28" t="n"/>
      <c r="C404" s="28" t="n"/>
      <c r="D404" s="28" t="n"/>
      <c r="E404" s="28" t="n"/>
      <c r="F404" s="28" t="n"/>
      <c r="G404" s="28" t="n"/>
      <c r="H404" s="28" t="n"/>
    </row>
    <row r="405">
      <c r="A405" s="90" t="n"/>
      <c r="B405" s="28" t="n"/>
      <c r="C405" s="28" t="n"/>
      <c r="D405" s="28" t="n"/>
      <c r="E405" s="28" t="n"/>
      <c r="F405" s="28" t="n"/>
      <c r="G405" s="28" t="n"/>
      <c r="H405" s="28" t="n"/>
    </row>
    <row r="406">
      <c r="A406" s="90" t="n"/>
      <c r="B406" s="28" t="n"/>
      <c r="C406" s="28" t="n"/>
      <c r="D406" s="28" t="n"/>
      <c r="E406" s="28" t="n"/>
      <c r="F406" s="28" t="n"/>
      <c r="G406" s="28" t="n"/>
      <c r="H406" s="28" t="n"/>
    </row>
    <row r="407">
      <c r="A407" s="90" t="n"/>
      <c r="B407" s="28" t="n"/>
      <c r="C407" s="28" t="n"/>
      <c r="D407" s="28" t="n"/>
      <c r="E407" s="28" t="n"/>
      <c r="F407" s="28" t="n"/>
      <c r="G407" s="28" t="n"/>
      <c r="H407" s="28" t="n"/>
    </row>
    <row r="408">
      <c r="A408" s="90" t="n"/>
      <c r="B408" s="28" t="n"/>
      <c r="C408" s="28" t="n"/>
      <c r="D408" s="28" t="n"/>
      <c r="E408" s="28" t="n"/>
      <c r="F408" s="28" t="n"/>
      <c r="G408" s="28" t="n"/>
      <c r="H408" s="28" t="n"/>
    </row>
    <row r="409">
      <c r="A409" s="90" t="n"/>
      <c r="B409" s="28" t="n"/>
      <c r="C409" s="28" t="n"/>
      <c r="D409" s="28" t="n"/>
      <c r="E409" s="28" t="n"/>
      <c r="F409" s="28" t="n"/>
      <c r="G409" s="28" t="n"/>
      <c r="H409" s="28" t="n"/>
    </row>
    <row r="410">
      <c r="A410" s="90" t="n"/>
      <c r="B410" s="28" t="n"/>
      <c r="C410" s="28" t="n"/>
      <c r="D410" s="28" t="n"/>
      <c r="E410" s="28" t="n"/>
      <c r="F410" s="28" t="n"/>
      <c r="G410" s="28" t="n"/>
      <c r="H410" s="28" t="n"/>
    </row>
    <row r="411">
      <c r="A411" s="90" t="n"/>
      <c r="B411" s="28" t="n"/>
      <c r="C411" s="28" t="n"/>
      <c r="D411" s="28" t="n"/>
      <c r="E411" s="28" t="n"/>
      <c r="F411" s="28" t="n"/>
      <c r="G411" s="28" t="n"/>
      <c r="H411" s="28" t="n"/>
    </row>
    <row r="412">
      <c r="A412" s="90" t="n"/>
      <c r="B412" s="28" t="n"/>
      <c r="C412" s="28" t="n"/>
      <c r="D412" s="28" t="n"/>
      <c r="E412" s="28" t="n"/>
      <c r="F412" s="28" t="n"/>
      <c r="G412" s="28" t="n"/>
      <c r="H412" s="28" t="n"/>
    </row>
    <row r="413">
      <c r="A413" s="90" t="n"/>
      <c r="B413" s="28" t="n"/>
      <c r="C413" s="28" t="n"/>
      <c r="D413" s="28" t="n"/>
      <c r="E413" s="28" t="n"/>
      <c r="F413" s="28" t="n"/>
      <c r="G413" s="28" t="n"/>
      <c r="H413" s="28" t="n"/>
    </row>
    <row r="414">
      <c r="A414" s="90" t="n"/>
      <c r="B414" s="28" t="n"/>
      <c r="C414" s="28" t="n"/>
      <c r="D414" s="28" t="n"/>
      <c r="E414" s="28" t="n"/>
      <c r="F414" s="28" t="n"/>
      <c r="G414" s="28" t="n"/>
      <c r="H414" s="28" t="n"/>
    </row>
    <row r="415">
      <c r="A415" s="90" t="n"/>
      <c r="B415" s="28" t="n"/>
      <c r="C415" s="28" t="n"/>
      <c r="D415" s="28" t="n"/>
      <c r="E415" s="28" t="n"/>
      <c r="F415" s="28" t="n"/>
      <c r="G415" s="28" t="n"/>
      <c r="H415" s="28" t="n"/>
    </row>
    <row r="416">
      <c r="A416" s="90" t="n"/>
      <c r="B416" s="28" t="n"/>
      <c r="C416" s="28" t="n"/>
      <c r="D416" s="28" t="n"/>
      <c r="E416" s="28" t="n"/>
      <c r="F416" s="28" t="n"/>
      <c r="G416" s="28" t="n"/>
      <c r="H416" s="28" t="n"/>
    </row>
    <row r="417">
      <c r="A417" s="90" t="n"/>
      <c r="B417" s="28" t="n"/>
      <c r="C417" s="28" t="n"/>
      <c r="D417" s="28" t="n"/>
      <c r="E417" s="28" t="n"/>
      <c r="F417" s="28" t="n"/>
      <c r="G417" s="28" t="n"/>
      <c r="H417" s="28" t="n"/>
    </row>
    <row r="418">
      <c r="A418" s="90" t="n"/>
      <c r="B418" s="28" t="n"/>
      <c r="C418" s="28" t="n"/>
      <c r="D418" s="28" t="n"/>
      <c r="E418" s="28" t="n"/>
      <c r="F418" s="28" t="n"/>
      <c r="G418" s="28" t="n"/>
      <c r="H418" s="28" t="n"/>
    </row>
    <row r="419">
      <c r="A419" s="90" t="n"/>
      <c r="B419" s="28" t="n"/>
      <c r="C419" s="28" t="n"/>
      <c r="D419" s="28" t="n"/>
      <c r="E419" s="28" t="n"/>
      <c r="F419" s="28" t="n"/>
      <c r="G419" s="28" t="n"/>
      <c r="H419" s="28" t="n"/>
    </row>
    <row r="420">
      <c r="A420" s="90" t="n"/>
      <c r="B420" s="28" t="n"/>
      <c r="C420" s="28" t="n"/>
      <c r="D420" s="28" t="n"/>
      <c r="E420" s="28" t="n"/>
      <c r="F420" s="28" t="n"/>
      <c r="G420" s="28" t="n"/>
      <c r="H420" s="28" t="n"/>
    </row>
    <row r="421">
      <c r="A421" s="90" t="n"/>
      <c r="B421" s="28" t="n"/>
      <c r="C421" s="28" t="n"/>
      <c r="D421" s="28" t="n"/>
      <c r="E421" s="28" t="n"/>
      <c r="F421" s="28" t="n"/>
      <c r="G421" s="28" t="n"/>
      <c r="H421" s="28" t="n"/>
    </row>
    <row r="422">
      <c r="A422" s="90" t="n"/>
      <c r="B422" s="28" t="n"/>
      <c r="C422" s="28" t="n"/>
      <c r="D422" s="28" t="n"/>
      <c r="E422" s="28" t="n"/>
      <c r="F422" s="28" t="n"/>
      <c r="G422" s="28" t="n"/>
      <c r="H422" s="28" t="n"/>
    </row>
    <row r="423">
      <c r="A423" s="90" t="n"/>
      <c r="B423" s="28" t="n"/>
      <c r="C423" s="28" t="n"/>
      <c r="D423" s="28" t="n"/>
      <c r="E423" s="28" t="n"/>
      <c r="F423" s="28" t="n"/>
      <c r="G423" s="28" t="n"/>
      <c r="H423" s="28" t="n"/>
    </row>
    <row r="424">
      <c r="A424" s="90" t="n"/>
      <c r="B424" s="28" t="n"/>
      <c r="C424" s="28" t="n"/>
      <c r="D424" s="28" t="n"/>
      <c r="E424" s="28" t="n"/>
      <c r="F424" s="28" t="n"/>
      <c r="G424" s="28" t="n"/>
      <c r="H424" s="28" t="n"/>
    </row>
    <row r="425">
      <c r="A425" s="90" t="n"/>
      <c r="B425" s="28" t="n"/>
      <c r="C425" s="28" t="n"/>
      <c r="D425" s="28" t="n"/>
      <c r="E425" s="28" t="n"/>
      <c r="F425" s="28" t="n"/>
      <c r="G425" s="28" t="n"/>
      <c r="H425" s="28" t="n"/>
    </row>
    <row r="426">
      <c r="A426" s="90" t="n"/>
      <c r="B426" s="28" t="n"/>
      <c r="C426" s="28" t="n"/>
      <c r="D426" s="28" t="n"/>
      <c r="E426" s="28" t="n"/>
      <c r="F426" s="28" t="n"/>
      <c r="G426" s="28" t="n"/>
      <c r="H426" s="28" t="n"/>
    </row>
    <row r="427">
      <c r="A427" s="90" t="n"/>
      <c r="B427" s="28" t="n"/>
      <c r="C427" s="28" t="n"/>
      <c r="D427" s="28" t="n"/>
      <c r="E427" s="28" t="n"/>
      <c r="F427" s="28" t="n"/>
      <c r="G427" s="28" t="n"/>
      <c r="H427" s="28" t="n"/>
    </row>
    <row r="428">
      <c r="A428" s="90" t="n"/>
      <c r="B428" s="28" t="n"/>
      <c r="C428" s="28" t="n"/>
      <c r="D428" s="28" t="n"/>
      <c r="E428" s="28" t="n"/>
      <c r="F428" s="28" t="n"/>
      <c r="G428" s="28" t="n"/>
      <c r="H428" s="28" t="n"/>
    </row>
    <row r="429">
      <c r="A429" s="90" t="n"/>
      <c r="B429" s="28" t="n"/>
      <c r="C429" s="28" t="n"/>
      <c r="D429" s="28" t="n"/>
      <c r="E429" s="28" t="n"/>
      <c r="F429" s="28" t="n"/>
      <c r="G429" s="28" t="n"/>
      <c r="H429" s="28" t="n"/>
    </row>
    <row r="430">
      <c r="A430" s="90" t="n"/>
      <c r="B430" s="28" t="n"/>
      <c r="C430" s="28" t="n"/>
      <c r="D430" s="28" t="n"/>
      <c r="E430" s="28" t="n"/>
      <c r="F430" s="28" t="n"/>
      <c r="G430" s="28" t="n"/>
      <c r="H430" s="28" t="n"/>
    </row>
    <row r="431">
      <c r="A431" s="90" t="n"/>
      <c r="B431" s="28" t="n"/>
      <c r="C431" s="28" t="n"/>
      <c r="D431" s="28" t="n"/>
      <c r="E431" s="28" t="n"/>
      <c r="F431" s="28" t="n"/>
      <c r="G431" s="28" t="n"/>
      <c r="H431" s="28" t="n"/>
    </row>
    <row r="432">
      <c r="A432" s="90" t="n"/>
      <c r="B432" s="28" t="n"/>
      <c r="C432" s="28" t="n"/>
      <c r="D432" s="28" t="n"/>
      <c r="E432" s="28" t="n"/>
      <c r="F432" s="28" t="n"/>
      <c r="G432" s="28" t="n"/>
      <c r="H432" s="28" t="n"/>
    </row>
    <row r="433">
      <c r="A433" s="90" t="n"/>
      <c r="B433" s="28" t="n"/>
      <c r="C433" s="28" t="n"/>
      <c r="D433" s="28" t="n"/>
      <c r="E433" s="28" t="n"/>
      <c r="F433" s="28" t="n"/>
      <c r="G433" s="28" t="n"/>
      <c r="H433" s="28" t="n"/>
    </row>
    <row r="434">
      <c r="A434" s="90" t="n"/>
      <c r="B434" s="28" t="n"/>
      <c r="C434" s="28" t="n"/>
      <c r="D434" s="28" t="n"/>
      <c r="E434" s="28" t="n"/>
      <c r="F434" s="28" t="n"/>
      <c r="G434" s="28" t="n"/>
      <c r="H434" s="28" t="n"/>
    </row>
    <row r="435">
      <c r="A435" s="90" t="n"/>
      <c r="B435" s="28" t="n"/>
      <c r="C435" s="28" t="n"/>
      <c r="D435" s="28" t="n"/>
      <c r="E435" s="28" t="n"/>
      <c r="F435" s="28" t="n"/>
      <c r="G435" s="28" t="n"/>
      <c r="H435" s="28" t="n"/>
    </row>
    <row r="436">
      <c r="A436" s="90" t="n"/>
      <c r="B436" s="28" t="n"/>
      <c r="C436" s="28" t="n"/>
      <c r="D436" s="28" t="n"/>
      <c r="E436" s="28" t="n"/>
      <c r="F436" s="28" t="n"/>
      <c r="G436" s="28" t="n"/>
      <c r="H436" s="28" t="n"/>
    </row>
    <row r="437">
      <c r="A437" s="90" t="n"/>
      <c r="B437" s="28" t="n"/>
      <c r="C437" s="28" t="n"/>
      <c r="D437" s="28" t="n"/>
      <c r="E437" s="28" t="n"/>
      <c r="F437" s="28" t="n"/>
      <c r="G437" s="28" t="n"/>
      <c r="H437" s="28" t="n"/>
    </row>
    <row r="438">
      <c r="A438" s="90" t="n"/>
      <c r="B438" s="28" t="n"/>
      <c r="C438" s="28" t="n"/>
      <c r="D438" s="28" t="n"/>
      <c r="E438" s="28" t="n"/>
      <c r="F438" s="28" t="n"/>
      <c r="G438" s="28" t="n"/>
      <c r="H438" s="28" t="n"/>
    </row>
    <row r="439">
      <c r="A439" s="90" t="n"/>
      <c r="B439" s="28" t="n"/>
      <c r="C439" s="28" t="n"/>
      <c r="D439" s="28" t="n"/>
      <c r="E439" s="28" t="n"/>
      <c r="F439" s="28" t="n"/>
      <c r="G439" s="28" t="n"/>
      <c r="H439" s="28" t="n"/>
    </row>
    <row r="440">
      <c r="A440" s="90" t="n"/>
      <c r="B440" s="28" t="n"/>
      <c r="C440" s="28" t="n"/>
      <c r="D440" s="28" t="n"/>
      <c r="E440" s="28" t="n"/>
      <c r="F440" s="28" t="n"/>
      <c r="G440" s="28" t="n"/>
      <c r="H440" s="28" t="n"/>
    </row>
    <row r="441">
      <c r="A441" s="90" t="n"/>
      <c r="B441" s="28" t="n"/>
      <c r="C441" s="28" t="n"/>
      <c r="D441" s="28" t="n"/>
      <c r="E441" s="28" t="n"/>
      <c r="F441" s="28" t="n"/>
      <c r="G441" s="28" t="n"/>
      <c r="H441" s="28" t="n"/>
    </row>
    <row r="442">
      <c r="A442" s="90" t="n"/>
      <c r="B442" s="28" t="n"/>
      <c r="C442" s="28" t="n"/>
      <c r="D442" s="28" t="n"/>
      <c r="E442" s="28" t="n"/>
      <c r="F442" s="28" t="n"/>
      <c r="G442" s="28" t="n"/>
      <c r="H442" s="28" t="n"/>
    </row>
    <row r="443">
      <c r="A443" s="90" t="n"/>
      <c r="B443" s="28" t="n"/>
      <c r="C443" s="28" t="n"/>
      <c r="D443" s="28" t="n"/>
      <c r="E443" s="28" t="n"/>
      <c r="F443" s="28" t="n"/>
      <c r="G443" s="28" t="n"/>
      <c r="H443" s="28" t="n"/>
    </row>
    <row r="444">
      <c r="A444" s="90" t="n"/>
      <c r="B444" s="28" t="n"/>
      <c r="C444" s="28" t="n"/>
      <c r="D444" s="28" t="n"/>
      <c r="E444" s="28" t="n"/>
      <c r="F444" s="28" t="n"/>
      <c r="G444" s="28" t="n"/>
      <c r="H444" s="28" t="n"/>
    </row>
    <row r="445">
      <c r="A445" s="90" t="n"/>
      <c r="B445" s="28" t="n"/>
      <c r="C445" s="28" t="n"/>
      <c r="D445" s="28" t="n"/>
      <c r="E445" s="28" t="n"/>
      <c r="F445" s="28" t="n"/>
      <c r="G445" s="28" t="n"/>
      <c r="H445" s="28" t="n"/>
    </row>
    <row r="446">
      <c r="A446" s="90" t="n"/>
      <c r="B446" s="28" t="n"/>
      <c r="C446" s="28" t="n"/>
      <c r="D446" s="28" t="n"/>
      <c r="E446" s="28" t="n"/>
      <c r="F446" s="28" t="n"/>
      <c r="G446" s="28" t="n"/>
      <c r="H446" s="28" t="n"/>
    </row>
    <row r="447">
      <c r="A447" s="90" t="n"/>
      <c r="B447" s="28" t="n"/>
      <c r="C447" s="28" t="n"/>
      <c r="D447" s="28" t="n"/>
      <c r="E447" s="28" t="n"/>
      <c r="F447" s="28" t="n"/>
      <c r="G447" s="28" t="n"/>
      <c r="H447" s="28" t="n"/>
    </row>
    <row r="448">
      <c r="A448" s="90" t="n"/>
      <c r="B448" s="28" t="n"/>
      <c r="C448" s="28" t="n"/>
      <c r="D448" s="28" t="n"/>
      <c r="E448" s="28" t="n"/>
      <c r="F448" s="28" t="n"/>
      <c r="G448" s="28" t="n"/>
      <c r="H448" s="28" t="n"/>
    </row>
    <row r="449">
      <c r="A449" s="90" t="n"/>
      <c r="B449" s="28" t="n"/>
      <c r="C449" s="28" t="n"/>
      <c r="D449" s="28" t="n"/>
      <c r="E449" s="28" t="n"/>
      <c r="F449" s="28" t="n"/>
      <c r="G449" s="28" t="n"/>
      <c r="H449" s="28" t="n"/>
    </row>
    <row r="450">
      <c r="A450" s="90" t="n"/>
      <c r="B450" s="28" t="n"/>
      <c r="C450" s="28" t="n"/>
      <c r="D450" s="28" t="n"/>
      <c r="E450" s="28" t="n"/>
      <c r="F450" s="28" t="n"/>
      <c r="G450" s="28" t="n"/>
      <c r="H450" s="28" t="n"/>
    </row>
    <row r="451">
      <c r="A451" s="90" t="n"/>
      <c r="B451" s="28" t="n"/>
      <c r="C451" s="28" t="n"/>
      <c r="D451" s="28" t="n"/>
      <c r="E451" s="28" t="n"/>
      <c r="F451" s="28" t="n"/>
      <c r="G451" s="28" t="n"/>
      <c r="H451" s="28" t="n"/>
    </row>
    <row r="452">
      <c r="A452" s="90" t="n"/>
      <c r="B452" s="28" t="n"/>
      <c r="C452" s="28" t="n"/>
      <c r="D452" s="28" t="n"/>
      <c r="E452" s="28" t="n"/>
      <c r="F452" s="28" t="n"/>
      <c r="G452" s="28" t="n"/>
      <c r="H452" s="28" t="n"/>
    </row>
    <row r="453">
      <c r="A453" s="90" t="n"/>
      <c r="B453" s="28" t="n"/>
      <c r="C453" s="28" t="n"/>
      <c r="D453" s="28" t="n"/>
      <c r="E453" s="28" t="n"/>
      <c r="F453" s="28" t="n"/>
      <c r="G453" s="28" t="n"/>
      <c r="H453" s="28" t="n"/>
    </row>
    <row r="454">
      <c r="A454" s="90" t="n"/>
      <c r="B454" s="28" t="n"/>
      <c r="C454" s="28" t="n"/>
      <c r="D454" s="28" t="n"/>
      <c r="E454" s="28" t="n"/>
      <c r="F454" s="28" t="n"/>
      <c r="G454" s="28" t="n"/>
      <c r="H454" s="28" t="n"/>
    </row>
    <row r="455">
      <c r="A455" s="90" t="n"/>
      <c r="B455" s="28" t="n"/>
      <c r="C455" s="28" t="n"/>
      <c r="D455" s="28" t="n"/>
      <c r="E455" s="28" t="n"/>
      <c r="F455" s="28" t="n"/>
      <c r="G455" s="28" t="n"/>
      <c r="H455" s="28" t="n"/>
    </row>
    <row r="456">
      <c r="A456" s="90" t="n"/>
      <c r="B456" s="28" t="n"/>
      <c r="C456" s="28" t="n"/>
      <c r="D456" s="28" t="n"/>
      <c r="E456" s="28" t="n"/>
      <c r="F456" s="28" t="n"/>
      <c r="G456" s="28" t="n"/>
      <c r="H456" s="28" t="n"/>
    </row>
    <row r="457">
      <c r="A457" s="90" t="n"/>
      <c r="B457" s="28" t="n"/>
      <c r="C457" s="28" t="n"/>
      <c r="D457" s="28" t="n"/>
      <c r="E457" s="28" t="n"/>
      <c r="F457" s="28" t="n"/>
      <c r="G457" s="28" t="n"/>
      <c r="H457" s="28" t="n"/>
    </row>
    <row r="458">
      <c r="A458" s="90" t="n"/>
      <c r="B458" s="28" t="n"/>
      <c r="C458" s="28" t="n"/>
      <c r="D458" s="28" t="n"/>
      <c r="E458" s="28" t="n"/>
      <c r="F458" s="28" t="n"/>
      <c r="G458" s="28" t="n"/>
      <c r="H458" s="28" t="n"/>
    </row>
    <row r="459">
      <c r="A459" s="90" t="n"/>
      <c r="B459" s="28" t="n"/>
      <c r="C459" s="28" t="n"/>
      <c r="D459" s="28" t="n"/>
      <c r="E459" s="28" t="n"/>
      <c r="F459" s="28" t="n"/>
      <c r="G459" s="28" t="n"/>
      <c r="H459" s="28" t="n"/>
    </row>
    <row r="460">
      <c r="A460" s="90" t="n"/>
      <c r="B460" s="28" t="n"/>
      <c r="C460" s="28" t="n"/>
      <c r="D460" s="28" t="n"/>
      <c r="E460" s="28" t="n"/>
      <c r="F460" s="28" t="n"/>
      <c r="G460" s="28" t="n"/>
      <c r="H460" s="28" t="n"/>
    </row>
    <row r="461">
      <c r="A461" s="90" t="n"/>
      <c r="B461" s="28" t="n"/>
      <c r="C461" s="28" t="n"/>
      <c r="D461" s="28" t="n"/>
      <c r="E461" s="28" t="n"/>
      <c r="F461" s="28" t="n"/>
      <c r="G461" s="28" t="n"/>
      <c r="H461" s="28" t="n"/>
    </row>
    <row r="462">
      <c r="A462" s="90" t="n"/>
      <c r="B462" s="28" t="n"/>
      <c r="C462" s="28" t="n"/>
      <c r="D462" s="28" t="n"/>
      <c r="E462" s="28" t="n"/>
      <c r="F462" s="28" t="n"/>
      <c r="G462" s="28" t="n"/>
      <c r="H462" s="28" t="n"/>
    </row>
    <row r="463">
      <c r="A463" s="90" t="n"/>
      <c r="B463" s="28" t="n"/>
      <c r="C463" s="28" t="n"/>
      <c r="D463" s="28" t="n"/>
      <c r="E463" s="28" t="n"/>
      <c r="F463" s="28" t="n"/>
      <c r="G463" s="28" t="n"/>
      <c r="H463" s="28" t="n"/>
    </row>
    <row r="464">
      <c r="A464" s="90" t="n"/>
      <c r="B464" s="28" t="n"/>
      <c r="C464" s="28" t="n"/>
      <c r="D464" s="28" t="n"/>
      <c r="E464" s="28" t="n"/>
      <c r="F464" s="28" t="n"/>
      <c r="G464" s="28" t="n"/>
      <c r="H464" s="28" t="n"/>
    </row>
    <row r="465">
      <c r="A465" s="90" t="n"/>
      <c r="B465" s="28" t="n"/>
      <c r="C465" s="28" t="n"/>
      <c r="D465" s="28" t="n"/>
      <c r="E465" s="28" t="n"/>
      <c r="F465" s="28" t="n"/>
      <c r="G465" s="28" t="n"/>
      <c r="H465" s="28" t="n"/>
    </row>
    <row r="466">
      <c r="A466" s="90" t="n"/>
      <c r="B466" s="28" t="n"/>
      <c r="C466" s="28" t="n"/>
      <c r="D466" s="28" t="n"/>
      <c r="E466" s="28" t="n"/>
      <c r="F466" s="28" t="n"/>
      <c r="G466" s="28" t="n"/>
      <c r="H466" s="28" t="n"/>
    </row>
    <row r="467">
      <c r="A467" s="90" t="n"/>
      <c r="B467" s="28" t="n"/>
      <c r="C467" s="28" t="n"/>
      <c r="D467" s="28" t="n"/>
      <c r="E467" s="28" t="n"/>
      <c r="F467" s="28" t="n"/>
      <c r="G467" s="28" t="n"/>
      <c r="H467" s="28" t="n"/>
    </row>
    <row r="468">
      <c r="A468" s="90" t="n"/>
      <c r="B468" s="28" t="n"/>
      <c r="C468" s="28" t="n"/>
      <c r="D468" s="28" t="n"/>
      <c r="E468" s="28" t="n"/>
      <c r="F468" s="28" t="n"/>
      <c r="G468" s="28" t="n"/>
      <c r="H468" s="28" t="n"/>
    </row>
    <row r="469">
      <c r="A469" s="90" t="n"/>
      <c r="B469" s="28" t="n"/>
      <c r="C469" s="28" t="n"/>
      <c r="D469" s="28" t="n"/>
      <c r="E469" s="28" t="n"/>
      <c r="F469" s="28" t="n"/>
      <c r="G469" s="28" t="n"/>
      <c r="H469" s="28" t="n"/>
    </row>
    <row r="470">
      <c r="A470" s="90" t="n"/>
      <c r="B470" s="28" t="n"/>
      <c r="C470" s="28" t="n"/>
      <c r="D470" s="28" t="n"/>
      <c r="E470" s="28" t="n"/>
      <c r="F470" s="28" t="n"/>
      <c r="G470" s="28" t="n"/>
      <c r="H470" s="28" t="n"/>
    </row>
    <row r="471">
      <c r="A471" s="90" t="n"/>
      <c r="B471" s="28" t="n"/>
      <c r="C471" s="28" t="n"/>
      <c r="D471" s="28" t="n"/>
      <c r="E471" s="28" t="n"/>
      <c r="F471" s="28" t="n"/>
      <c r="G471" s="28" t="n"/>
      <c r="H471" s="28" t="n"/>
    </row>
    <row r="472">
      <c r="A472" s="90" t="n"/>
      <c r="B472" s="28" t="n"/>
      <c r="C472" s="28" t="n"/>
      <c r="D472" s="28" t="n"/>
      <c r="E472" s="28" t="n"/>
      <c r="F472" s="28" t="n"/>
      <c r="G472" s="28" t="n"/>
      <c r="H472" s="28" t="n"/>
    </row>
    <row r="473">
      <c r="A473" s="90" t="n"/>
      <c r="B473" s="28" t="n"/>
      <c r="C473" s="28" t="n"/>
      <c r="D473" s="28" t="n"/>
      <c r="E473" s="28" t="n"/>
      <c r="F473" s="28" t="n"/>
      <c r="G473" s="28" t="n"/>
      <c r="H473" s="28" t="n"/>
    </row>
    <row r="474">
      <c r="A474" s="90" t="n"/>
      <c r="B474" s="28" t="n"/>
      <c r="C474" s="28" t="n"/>
      <c r="D474" s="28" t="n"/>
      <c r="E474" s="28" t="n"/>
      <c r="F474" s="28" t="n"/>
      <c r="G474" s="28" t="n"/>
      <c r="H474" s="28" t="n"/>
    </row>
    <row r="475">
      <c r="A475" s="90" t="n"/>
      <c r="B475" s="28" t="n"/>
      <c r="C475" s="28" t="n"/>
      <c r="D475" s="28" t="n"/>
      <c r="E475" s="28" t="n"/>
      <c r="F475" s="28" t="n"/>
      <c r="G475" s="28" t="n"/>
      <c r="H475" s="28" t="n"/>
    </row>
    <row r="476">
      <c r="A476" s="90" t="n"/>
      <c r="B476" s="28" t="n"/>
      <c r="C476" s="28" t="n"/>
      <c r="D476" s="28" t="n"/>
      <c r="E476" s="28" t="n"/>
      <c r="F476" s="28" t="n"/>
      <c r="G476" s="28" t="n"/>
      <c r="H476" s="28" t="n"/>
    </row>
    <row r="477">
      <c r="A477" s="90" t="n"/>
      <c r="B477" s="28" t="n"/>
      <c r="C477" s="28" t="n"/>
      <c r="D477" s="28" t="n"/>
      <c r="E477" s="28" t="n"/>
      <c r="F477" s="28" t="n"/>
      <c r="G477" s="28" t="n"/>
      <c r="H477" s="28" t="n"/>
    </row>
    <row r="478">
      <c r="A478" s="90" t="n"/>
      <c r="B478" s="28" t="n"/>
      <c r="C478" s="28" t="n"/>
      <c r="D478" s="28" t="n"/>
      <c r="E478" s="28" t="n"/>
      <c r="F478" s="28" t="n"/>
      <c r="G478" s="28" t="n"/>
      <c r="H478" s="28" t="n"/>
    </row>
    <row r="479">
      <c r="A479" s="90" t="n"/>
      <c r="B479" s="28" t="n"/>
      <c r="C479" s="28" t="n"/>
      <c r="D479" s="28" t="n"/>
      <c r="E479" s="28" t="n"/>
      <c r="F479" s="28" t="n"/>
      <c r="G479" s="28" t="n"/>
      <c r="H479" s="28" t="n"/>
    </row>
    <row r="480">
      <c r="A480" s="90" t="n"/>
      <c r="B480" s="28" t="n"/>
      <c r="C480" s="28" t="n"/>
      <c r="D480" s="28" t="n"/>
      <c r="E480" s="28" t="n"/>
      <c r="F480" s="28" t="n"/>
      <c r="G480" s="28" t="n"/>
      <c r="H480" s="28" t="n"/>
    </row>
    <row r="481">
      <c r="A481" s="90" t="n"/>
      <c r="B481" s="28" t="n"/>
      <c r="C481" s="28" t="n"/>
      <c r="D481" s="28" t="n"/>
      <c r="E481" s="28" t="n"/>
      <c r="F481" s="28" t="n"/>
      <c r="G481" s="28" t="n"/>
      <c r="H481" s="28" t="n"/>
    </row>
    <row r="482">
      <c r="A482" s="90" t="n"/>
      <c r="B482" s="28" t="n"/>
      <c r="C482" s="28" t="n"/>
      <c r="D482" s="28" t="n"/>
      <c r="E482" s="28" t="n"/>
      <c r="F482" s="28" t="n"/>
      <c r="G482" s="28" t="n"/>
      <c r="H482" s="28" t="n"/>
    </row>
    <row r="483">
      <c r="A483" s="90" t="n"/>
      <c r="B483" s="28" t="n"/>
      <c r="C483" s="28" t="n"/>
      <c r="D483" s="28" t="n"/>
      <c r="E483" s="28" t="n"/>
      <c r="F483" s="28" t="n"/>
      <c r="G483" s="28" t="n"/>
      <c r="H483" s="28" t="n"/>
    </row>
    <row r="484">
      <c r="A484" s="90" t="n"/>
      <c r="B484" s="28" t="n"/>
      <c r="C484" s="28" t="n"/>
      <c r="D484" s="28" t="n"/>
      <c r="E484" s="28" t="n"/>
      <c r="F484" s="28" t="n"/>
      <c r="G484" s="28" t="n"/>
      <c r="H484" s="28" t="n"/>
    </row>
    <row r="485">
      <c r="A485" s="90" t="n"/>
      <c r="B485" s="28" t="n"/>
      <c r="C485" s="28" t="n"/>
      <c r="D485" s="28" t="n"/>
      <c r="E485" s="28" t="n"/>
      <c r="F485" s="28" t="n"/>
      <c r="G485" s="28" t="n"/>
      <c r="H485" s="28" t="n"/>
    </row>
    <row r="486">
      <c r="A486" s="90" t="n"/>
      <c r="B486" s="28" t="n"/>
      <c r="C486" s="28" t="n"/>
      <c r="D486" s="28" t="n"/>
      <c r="E486" s="28" t="n"/>
      <c r="F486" s="28" t="n"/>
      <c r="G486" s="28" t="n"/>
      <c r="H486" s="28" t="n"/>
    </row>
    <row r="487">
      <c r="A487" s="90" t="n"/>
      <c r="B487" s="28" t="n"/>
      <c r="C487" s="28" t="n"/>
      <c r="D487" s="28" t="n"/>
      <c r="E487" s="28" t="n"/>
      <c r="F487" s="28" t="n"/>
      <c r="G487" s="28" t="n"/>
      <c r="H487" s="28" t="n"/>
    </row>
    <row r="488">
      <c r="A488" s="90" t="n"/>
      <c r="B488" s="28" t="n"/>
      <c r="C488" s="28" t="n"/>
      <c r="D488" s="28" t="n"/>
      <c r="E488" s="28" t="n"/>
      <c r="F488" s="28" t="n"/>
      <c r="G488" s="28" t="n"/>
      <c r="H488" s="28" t="n"/>
    </row>
    <row r="489">
      <c r="A489" s="90" t="n"/>
      <c r="B489" s="28" t="n"/>
      <c r="C489" s="28" t="n"/>
      <c r="D489" s="28" t="n"/>
      <c r="E489" s="28" t="n"/>
      <c r="F489" s="28" t="n"/>
      <c r="G489" s="28" t="n"/>
      <c r="H489" s="28" t="n"/>
    </row>
    <row r="490">
      <c r="A490" s="90" t="n"/>
      <c r="B490" s="28" t="n"/>
      <c r="C490" s="28" t="n"/>
      <c r="D490" s="28" t="n"/>
      <c r="E490" s="28" t="n"/>
      <c r="F490" s="28" t="n"/>
      <c r="G490" s="28" t="n"/>
      <c r="H490" s="28" t="n"/>
    </row>
    <row r="491">
      <c r="A491" s="90" t="n"/>
      <c r="B491" s="28" t="n"/>
      <c r="C491" s="28" t="n"/>
      <c r="D491" s="28" t="n"/>
      <c r="E491" s="28" t="n"/>
      <c r="F491" s="28" t="n"/>
      <c r="G491" s="28" t="n"/>
      <c r="H491" s="28" t="n"/>
    </row>
    <row r="492">
      <c r="A492" s="90" t="n"/>
      <c r="B492" s="28" t="n"/>
      <c r="C492" s="28" t="n"/>
      <c r="D492" s="28" t="n"/>
      <c r="E492" s="28" t="n"/>
      <c r="F492" s="28" t="n"/>
      <c r="G492" s="28" t="n"/>
      <c r="H492" s="28" t="n"/>
    </row>
    <row r="493">
      <c r="A493" s="90" t="n"/>
      <c r="B493" s="28" t="n"/>
      <c r="C493" s="28" t="n"/>
      <c r="D493" s="28" t="n"/>
      <c r="E493" s="28" t="n"/>
      <c r="F493" s="28" t="n"/>
      <c r="G493" s="28" t="n"/>
      <c r="H493" s="28" t="n"/>
    </row>
    <row r="494">
      <c r="A494" s="90" t="n"/>
      <c r="B494" s="28" t="n"/>
      <c r="C494" s="28" t="n"/>
      <c r="D494" s="28" t="n"/>
      <c r="E494" s="28" t="n"/>
      <c r="F494" s="28" t="n"/>
      <c r="G494" s="28" t="n"/>
      <c r="H494" s="28" t="n"/>
    </row>
    <row r="495">
      <c r="A495" s="90" t="n"/>
      <c r="B495" s="28" t="n"/>
      <c r="C495" s="28" t="n"/>
      <c r="D495" s="28" t="n"/>
      <c r="E495" s="28" t="n"/>
      <c r="F495" s="28" t="n"/>
      <c r="G495" s="28" t="n"/>
      <c r="H495" s="28" t="n"/>
    </row>
    <row r="496">
      <c r="A496" s="90" t="n"/>
      <c r="B496" s="28" t="n"/>
      <c r="C496" s="28" t="n"/>
      <c r="D496" s="28" t="n"/>
      <c r="E496" s="28" t="n"/>
      <c r="F496" s="28" t="n"/>
      <c r="G496" s="28" t="n"/>
      <c r="H496" s="28" t="n"/>
    </row>
    <row r="497">
      <c r="A497" s="90" t="n"/>
      <c r="B497" s="28" t="n"/>
      <c r="C497" s="28" t="n"/>
      <c r="D497" s="28" t="n"/>
      <c r="E497" s="28" t="n"/>
      <c r="F497" s="28" t="n"/>
      <c r="G497" s="28" t="n"/>
      <c r="H497" s="28" t="n"/>
    </row>
    <row r="498">
      <c r="A498" s="90" t="n"/>
      <c r="B498" s="28" t="n"/>
      <c r="C498" s="28" t="n"/>
      <c r="D498" s="28" t="n"/>
      <c r="E498" s="28" t="n"/>
      <c r="F498" s="28" t="n"/>
      <c r="G498" s="28" t="n"/>
      <c r="H498" s="28" t="n"/>
    </row>
    <row r="499">
      <c r="A499" s="90" t="n"/>
      <c r="B499" s="28" t="n"/>
      <c r="C499" s="28" t="n"/>
      <c r="D499" s="28" t="n"/>
      <c r="E499" s="28" t="n"/>
      <c r="F499" s="28" t="n"/>
      <c r="G499" s="28" t="n"/>
      <c r="H499" s="28" t="n"/>
    </row>
    <row r="500">
      <c r="A500" s="90" t="n"/>
      <c r="B500" s="28" t="n"/>
      <c r="C500" s="28" t="n"/>
      <c r="D500" s="28" t="n"/>
      <c r="E500" s="28" t="n"/>
      <c r="F500" s="28" t="n"/>
      <c r="G500" s="28" t="n"/>
      <c r="H500" s="28" t="n"/>
    </row>
    <row r="501">
      <c r="A501" s="90" t="n"/>
      <c r="B501" s="28" t="n"/>
      <c r="C501" s="28" t="n"/>
      <c r="D501" s="28" t="n"/>
      <c r="E501" s="28" t="n"/>
      <c r="F501" s="28" t="n"/>
      <c r="G501" s="28" t="n"/>
      <c r="H501" s="28" t="n"/>
    </row>
    <row r="502">
      <c r="A502" s="90" t="n"/>
      <c r="B502" s="28" t="n"/>
      <c r="C502" s="28" t="n"/>
      <c r="D502" s="28" t="n"/>
      <c r="E502" s="28" t="n"/>
      <c r="F502" s="28" t="n"/>
      <c r="G502" s="28" t="n"/>
      <c r="H502" s="28" t="n"/>
    </row>
    <row r="503">
      <c r="A503" s="90" t="n"/>
      <c r="B503" s="28" t="n"/>
      <c r="C503" s="28" t="n"/>
      <c r="D503" s="28" t="n"/>
      <c r="E503" s="28" t="n"/>
      <c r="F503" s="28" t="n"/>
      <c r="G503" s="28" t="n"/>
      <c r="H503" s="28" t="n"/>
    </row>
    <row r="504">
      <c r="A504" s="90" t="n"/>
      <c r="B504" s="28" t="n"/>
      <c r="C504" s="28" t="n"/>
      <c r="D504" s="28" t="n"/>
      <c r="E504" s="28" t="n"/>
      <c r="F504" s="28" t="n"/>
      <c r="G504" s="28" t="n"/>
      <c r="H504" s="28" t="n"/>
    </row>
    <row r="505">
      <c r="A505" s="90" t="n"/>
      <c r="B505" s="28" t="n"/>
      <c r="C505" s="28" t="n"/>
      <c r="D505" s="28" t="n"/>
      <c r="E505" s="28" t="n"/>
      <c r="F505" s="28" t="n"/>
      <c r="G505" s="28" t="n"/>
      <c r="H505" s="28" t="n"/>
    </row>
    <row r="506">
      <c r="A506" s="90" t="n"/>
      <c r="B506" s="28" t="n"/>
      <c r="C506" s="28" t="n"/>
      <c r="D506" s="28" t="n"/>
      <c r="E506" s="28" t="n"/>
      <c r="F506" s="28" t="n"/>
      <c r="G506" s="28" t="n"/>
      <c r="H506" s="28" t="n"/>
    </row>
    <row r="507">
      <c r="A507" s="90" t="n"/>
      <c r="B507" s="28" t="n"/>
      <c r="C507" s="28" t="n"/>
      <c r="D507" s="28" t="n"/>
      <c r="E507" s="28" t="n"/>
      <c r="F507" s="28" t="n"/>
      <c r="G507" s="28" t="n"/>
      <c r="H507" s="28" t="n"/>
    </row>
    <row r="508">
      <c r="A508" s="90" t="n"/>
      <c r="B508" s="28" t="n"/>
      <c r="C508" s="28" t="n"/>
      <c r="D508" s="28" t="n"/>
      <c r="E508" s="28" t="n"/>
      <c r="F508" s="28" t="n"/>
      <c r="G508" s="28" t="n"/>
      <c r="H508" s="28" t="n"/>
    </row>
    <row r="509">
      <c r="A509" s="90" t="n"/>
      <c r="B509" s="28" t="n"/>
      <c r="C509" s="28" t="n"/>
      <c r="D509" s="28" t="n"/>
      <c r="E509" s="28" t="n"/>
      <c r="F509" s="28" t="n"/>
      <c r="G509" s="28" t="n"/>
      <c r="H509" s="28" t="n"/>
    </row>
    <row r="510">
      <c r="A510" s="90" t="n"/>
      <c r="B510" s="28" t="n"/>
      <c r="C510" s="28" t="n"/>
      <c r="D510" s="28" t="n"/>
      <c r="E510" s="28" t="n"/>
      <c r="F510" s="28" t="n"/>
      <c r="G510" s="28" t="n"/>
      <c r="H510" s="28" t="n"/>
    </row>
    <row r="511">
      <c r="A511" s="90" t="n"/>
      <c r="B511" s="28" t="n"/>
      <c r="C511" s="28" t="n"/>
      <c r="D511" s="28" t="n"/>
      <c r="E511" s="28" t="n"/>
      <c r="F511" s="28" t="n"/>
      <c r="G511" s="28" t="n"/>
      <c r="H511" s="28" t="n"/>
    </row>
    <row r="512">
      <c r="A512" s="90" t="n"/>
      <c r="B512" s="28" t="n"/>
      <c r="C512" s="28" t="n"/>
      <c r="D512" s="28" t="n"/>
      <c r="E512" s="28" t="n"/>
      <c r="F512" s="28" t="n"/>
      <c r="G512" s="28" t="n"/>
      <c r="H512" s="28" t="n"/>
    </row>
    <row r="513">
      <c r="A513" s="90" t="n"/>
      <c r="B513" s="28" t="n"/>
      <c r="C513" s="28" t="n"/>
      <c r="D513" s="28" t="n"/>
      <c r="E513" s="28" t="n"/>
      <c r="F513" s="28" t="n"/>
      <c r="G513" s="28" t="n"/>
      <c r="H513" s="28" t="n"/>
    </row>
    <row r="514">
      <c r="A514" s="90" t="n"/>
      <c r="B514" s="28" t="n"/>
      <c r="C514" s="28" t="n"/>
      <c r="D514" s="28" t="n"/>
      <c r="E514" s="28" t="n"/>
      <c r="F514" s="28" t="n"/>
      <c r="G514" s="28" t="n"/>
      <c r="H514" s="28" t="n"/>
    </row>
    <row r="515">
      <c r="A515" s="90" t="n"/>
      <c r="B515" s="28" t="n"/>
      <c r="C515" s="28" t="n"/>
      <c r="D515" s="28" t="n"/>
      <c r="E515" s="28" t="n"/>
      <c r="F515" s="28" t="n"/>
      <c r="G515" s="28" t="n"/>
      <c r="H515" s="28" t="n"/>
    </row>
    <row r="516">
      <c r="A516" s="90" t="n"/>
      <c r="B516" s="28" t="n"/>
      <c r="C516" s="28" t="n"/>
      <c r="D516" s="28" t="n"/>
      <c r="E516" s="28" t="n"/>
      <c r="F516" s="28" t="n"/>
      <c r="G516" s="28" t="n"/>
      <c r="H516" s="28" t="n"/>
    </row>
    <row r="517">
      <c r="A517" s="90" t="n"/>
      <c r="B517" s="28" t="n"/>
      <c r="C517" s="28" t="n"/>
      <c r="D517" s="28" t="n"/>
      <c r="E517" s="28" t="n"/>
      <c r="F517" s="28" t="n"/>
      <c r="G517" s="28" t="n"/>
      <c r="H517" s="28" t="n"/>
    </row>
    <row r="518">
      <c r="A518" s="90" t="n"/>
      <c r="B518" s="28" t="n"/>
      <c r="C518" s="28" t="n"/>
      <c r="D518" s="28" t="n"/>
      <c r="E518" s="28" t="n"/>
      <c r="F518" s="28" t="n"/>
      <c r="G518" s="28" t="n"/>
      <c r="H518" s="28" t="n"/>
    </row>
    <row r="519">
      <c r="A519" s="90" t="n"/>
      <c r="B519" s="28" t="n"/>
      <c r="C519" s="28" t="n"/>
      <c r="D519" s="28" t="n"/>
      <c r="E519" s="28" t="n"/>
      <c r="F519" s="28" t="n"/>
      <c r="G519" s="28" t="n"/>
      <c r="H519" s="28" t="n"/>
    </row>
    <row r="520">
      <c r="A520" s="90" t="n"/>
      <c r="B520" s="28" t="n"/>
      <c r="C520" s="28" t="n"/>
      <c r="D520" s="28" t="n"/>
      <c r="E520" s="28" t="n"/>
      <c r="F520" s="28" t="n"/>
      <c r="G520" s="28" t="n"/>
      <c r="H520" s="28" t="n"/>
    </row>
    <row r="521">
      <c r="A521" s="90" t="n"/>
      <c r="B521" s="28" t="n"/>
      <c r="C521" s="28" t="n"/>
      <c r="D521" s="28" t="n"/>
      <c r="E521" s="28" t="n"/>
      <c r="F521" s="28" t="n"/>
      <c r="G521" s="28" t="n"/>
      <c r="H521" s="28" t="n"/>
    </row>
    <row r="522">
      <c r="A522" s="90" t="n"/>
      <c r="B522" s="28" t="n"/>
      <c r="C522" s="28" t="n"/>
      <c r="D522" s="28" t="n"/>
      <c r="E522" s="28" t="n"/>
      <c r="F522" s="28" t="n"/>
      <c r="G522" s="28" t="n"/>
      <c r="H522" s="28" t="n"/>
    </row>
    <row r="523">
      <c r="A523" s="90" t="n"/>
      <c r="B523" s="28" t="n"/>
      <c r="C523" s="28" t="n"/>
      <c r="D523" s="28" t="n"/>
      <c r="E523" s="28" t="n"/>
      <c r="F523" s="28" t="n"/>
      <c r="G523" s="28" t="n"/>
      <c r="H523" s="28" t="n"/>
    </row>
    <row r="524">
      <c r="A524" s="90" t="n"/>
      <c r="B524" s="28" t="n"/>
      <c r="C524" s="28" t="n"/>
      <c r="D524" s="28" t="n"/>
      <c r="E524" s="28" t="n"/>
      <c r="F524" s="28" t="n"/>
      <c r="G524" s="28" t="n"/>
      <c r="H524" s="28" t="n"/>
    </row>
    <row r="525">
      <c r="A525" s="90" t="n"/>
      <c r="B525" s="28" t="n"/>
      <c r="C525" s="28" t="n"/>
      <c r="D525" s="28" t="n"/>
      <c r="E525" s="28" t="n"/>
      <c r="F525" s="28" t="n"/>
      <c r="G525" s="28" t="n"/>
      <c r="H525" s="28" t="n"/>
    </row>
    <row r="526">
      <c r="A526" s="90" t="n"/>
      <c r="B526" s="28" t="n"/>
      <c r="C526" s="28" t="n"/>
      <c r="D526" s="28" t="n"/>
      <c r="E526" s="28" t="n"/>
      <c r="F526" s="28" t="n"/>
      <c r="G526" s="28" t="n"/>
      <c r="H526" s="28" t="n"/>
    </row>
    <row r="527">
      <c r="A527" s="90" t="n"/>
      <c r="B527" s="28" t="n"/>
      <c r="C527" s="28" t="n"/>
      <c r="D527" s="28" t="n"/>
      <c r="E527" s="28" t="n"/>
      <c r="F527" s="28" t="n"/>
      <c r="G527" s="28" t="n"/>
      <c r="H527" s="28" t="n"/>
    </row>
    <row r="528">
      <c r="A528" s="90" t="n"/>
      <c r="B528" s="28" t="n"/>
      <c r="C528" s="28" t="n"/>
      <c r="D528" s="28" t="n"/>
      <c r="E528" s="28" t="n"/>
      <c r="F528" s="28" t="n"/>
      <c r="G528" s="28" t="n"/>
      <c r="H528" s="28" t="n"/>
    </row>
    <row r="529">
      <c r="A529" s="90" t="n"/>
      <c r="B529" s="28" t="n"/>
      <c r="C529" s="28" t="n"/>
      <c r="D529" s="28" t="n"/>
      <c r="E529" s="28" t="n"/>
      <c r="F529" s="28" t="n"/>
      <c r="G529" s="28" t="n"/>
      <c r="H529" s="28" t="n"/>
    </row>
    <row r="530">
      <c r="A530" s="90" t="n"/>
      <c r="B530" s="28" t="n"/>
      <c r="C530" s="28" t="n"/>
      <c r="D530" s="28" t="n"/>
      <c r="E530" s="28" t="n"/>
      <c r="F530" s="28" t="n"/>
      <c r="G530" s="28" t="n"/>
      <c r="H530" s="28" t="n"/>
    </row>
    <row r="531">
      <c r="A531" s="90" t="n"/>
      <c r="B531" s="28" t="n"/>
      <c r="C531" s="28" t="n"/>
      <c r="D531" s="28" t="n"/>
      <c r="E531" s="28" t="n"/>
      <c r="F531" s="28" t="n"/>
      <c r="G531" s="28" t="n"/>
      <c r="H531" s="28" t="n"/>
    </row>
    <row r="532">
      <c r="A532" s="90" t="n"/>
      <c r="B532" s="28" t="n"/>
      <c r="C532" s="28" t="n"/>
      <c r="D532" s="28" t="n"/>
      <c r="E532" s="28" t="n"/>
      <c r="F532" s="28" t="n"/>
      <c r="G532" s="28" t="n"/>
      <c r="H532" s="28" t="n"/>
    </row>
    <row r="533">
      <c r="A533" s="90" t="n"/>
      <c r="B533" s="28" t="n"/>
      <c r="C533" s="28" t="n"/>
      <c r="D533" s="28" t="n"/>
      <c r="E533" s="28" t="n"/>
      <c r="F533" s="28" t="n"/>
      <c r="G533" s="28" t="n"/>
      <c r="H533" s="28" t="n"/>
    </row>
    <row r="534">
      <c r="A534" s="90" t="n"/>
      <c r="B534" s="28" t="n"/>
      <c r="C534" s="28" t="n"/>
      <c r="D534" s="28" t="n"/>
      <c r="E534" s="28" t="n"/>
      <c r="F534" s="28" t="n"/>
      <c r="G534" s="28" t="n"/>
      <c r="H534" s="28" t="n"/>
    </row>
    <row r="535">
      <c r="A535" s="90" t="n"/>
      <c r="B535" s="28" t="n"/>
      <c r="C535" s="28" t="n"/>
      <c r="D535" s="28" t="n"/>
      <c r="E535" s="28" t="n"/>
      <c r="F535" s="28" t="n"/>
      <c r="G535" s="28" t="n"/>
      <c r="H535" s="28" t="n"/>
    </row>
    <row r="536">
      <c r="A536" s="90" t="n"/>
      <c r="B536" s="28" t="n"/>
      <c r="C536" s="28" t="n"/>
      <c r="D536" s="28" t="n"/>
      <c r="E536" s="28" t="n"/>
      <c r="F536" s="28" t="n"/>
      <c r="G536" s="28" t="n"/>
      <c r="H536" s="28" t="n"/>
    </row>
    <row r="537">
      <c r="A537" s="90" t="n"/>
      <c r="B537" s="28" t="n"/>
      <c r="C537" s="28" t="n"/>
      <c r="D537" s="28" t="n"/>
      <c r="E537" s="28" t="n"/>
      <c r="F537" s="28" t="n"/>
      <c r="G537" s="28" t="n"/>
      <c r="H537" s="28" t="n"/>
    </row>
    <row r="538">
      <c r="A538" s="90" t="n"/>
      <c r="B538" s="28" t="n"/>
      <c r="C538" s="28" t="n"/>
      <c r="D538" s="28" t="n"/>
      <c r="E538" s="28" t="n"/>
      <c r="F538" s="28" t="n"/>
      <c r="G538" s="28" t="n"/>
      <c r="H538" s="28" t="n"/>
    </row>
    <row r="539">
      <c r="A539" s="90" t="n"/>
      <c r="B539" s="28" t="n"/>
      <c r="C539" s="28" t="n"/>
      <c r="D539" s="28" t="n"/>
      <c r="E539" s="28" t="n"/>
      <c r="F539" s="28" t="n"/>
      <c r="G539" s="28" t="n"/>
      <c r="H539" s="28" t="n"/>
    </row>
    <row r="540">
      <c r="A540" s="90" t="n"/>
      <c r="B540" s="28" t="n"/>
      <c r="C540" s="28" t="n"/>
      <c r="D540" s="28" t="n"/>
      <c r="E540" s="28" t="n"/>
      <c r="F540" s="28" t="n"/>
      <c r="G540" s="28" t="n"/>
      <c r="H540" s="28" t="n"/>
    </row>
    <row r="541">
      <c r="A541" s="90" t="n"/>
      <c r="B541" s="28" t="n"/>
      <c r="C541" s="28" t="n"/>
      <c r="D541" s="28" t="n"/>
      <c r="E541" s="28" t="n"/>
      <c r="F541" s="28" t="n"/>
      <c r="G541" s="28" t="n"/>
      <c r="H541" s="28" t="n"/>
    </row>
    <row r="542">
      <c r="A542" s="90" t="n"/>
      <c r="B542" s="28" t="n"/>
      <c r="C542" s="28" t="n"/>
      <c r="D542" s="28" t="n"/>
      <c r="E542" s="28" t="n"/>
      <c r="F542" s="28" t="n"/>
      <c r="G542" s="28" t="n"/>
      <c r="H542" s="28" t="n"/>
    </row>
    <row r="543">
      <c r="A543" s="90" t="n"/>
      <c r="B543" s="28" t="n"/>
      <c r="C543" s="28" t="n"/>
      <c r="D543" s="28" t="n"/>
      <c r="E543" s="28" t="n"/>
      <c r="F543" s="28" t="n"/>
      <c r="G543" s="28" t="n"/>
      <c r="H543" s="28" t="n"/>
    </row>
    <row r="544">
      <c r="A544" s="90" t="n"/>
      <c r="B544" s="28" t="n"/>
      <c r="C544" s="28" t="n"/>
      <c r="D544" s="28" t="n"/>
      <c r="E544" s="28" t="n"/>
      <c r="F544" s="28" t="n"/>
      <c r="G544" s="28" t="n"/>
      <c r="H544" s="28" t="n"/>
    </row>
    <row r="545">
      <c r="A545" s="90" t="n"/>
      <c r="B545" s="28" t="n"/>
      <c r="C545" s="28" t="n"/>
      <c r="D545" s="28" t="n"/>
      <c r="E545" s="28" t="n"/>
      <c r="F545" s="28" t="n"/>
      <c r="G545" s="28" t="n"/>
      <c r="H545" s="28" t="n"/>
    </row>
    <row r="546">
      <c r="A546" s="90" t="n"/>
      <c r="B546" s="28" t="n"/>
      <c r="C546" s="28" t="n"/>
      <c r="D546" s="28" t="n"/>
      <c r="E546" s="28" t="n"/>
      <c r="F546" s="28" t="n"/>
      <c r="G546" s="28" t="n"/>
      <c r="H546" s="28" t="n"/>
    </row>
    <row r="547">
      <c r="A547" s="90" t="n"/>
      <c r="B547" s="28" t="n"/>
      <c r="C547" s="28" t="n"/>
      <c r="D547" s="28" t="n"/>
      <c r="E547" s="28" t="n"/>
      <c r="F547" s="28" t="n"/>
      <c r="G547" s="28" t="n"/>
      <c r="H547" s="28" t="n"/>
    </row>
    <row r="548">
      <c r="A548" s="90" t="n"/>
      <c r="B548" s="28" t="n"/>
      <c r="C548" s="28" t="n"/>
      <c r="D548" s="28" t="n"/>
      <c r="E548" s="28" t="n"/>
      <c r="F548" s="28" t="n"/>
      <c r="G548" s="28" t="n"/>
      <c r="H548" s="28" t="n"/>
    </row>
    <row r="549">
      <c r="A549" s="90" t="n"/>
      <c r="B549" s="28" t="n"/>
      <c r="C549" s="28" t="n"/>
      <c r="D549" s="28" t="n"/>
      <c r="E549" s="28" t="n"/>
      <c r="F549" s="28" t="n"/>
      <c r="G549" s="28" t="n"/>
      <c r="H549" s="28" t="n"/>
    </row>
    <row r="550">
      <c r="A550" s="90" t="n"/>
      <c r="B550" s="28" t="n"/>
      <c r="C550" s="28" t="n"/>
      <c r="D550" s="28" t="n"/>
      <c r="E550" s="28" t="n"/>
      <c r="F550" s="28" t="n"/>
      <c r="G550" s="28" t="n"/>
      <c r="H550" s="28" t="n"/>
    </row>
    <row r="551">
      <c r="A551" s="90" t="n"/>
      <c r="B551" s="28" t="n"/>
      <c r="C551" s="28" t="n"/>
      <c r="D551" s="28" t="n"/>
      <c r="E551" s="28" t="n"/>
      <c r="F551" s="28" t="n"/>
      <c r="G551" s="28" t="n"/>
      <c r="H551" s="28" t="n"/>
    </row>
    <row r="552">
      <c r="A552" s="90" t="n"/>
      <c r="B552" s="28" t="n"/>
      <c r="C552" s="28" t="n"/>
      <c r="D552" s="28" t="n"/>
      <c r="E552" s="28" t="n"/>
      <c r="F552" s="28" t="n"/>
      <c r="G552" s="28" t="n"/>
      <c r="H552" s="28" t="n"/>
    </row>
    <row r="553">
      <c r="A553" s="90" t="n"/>
      <c r="B553" s="28" t="n"/>
      <c r="C553" s="28" t="n"/>
      <c r="D553" s="28" t="n"/>
      <c r="E553" s="28" t="n"/>
      <c r="F553" s="28" t="n"/>
      <c r="G553" s="28" t="n"/>
      <c r="H553" s="28" t="n"/>
    </row>
    <row r="554">
      <c r="A554" s="90" t="n"/>
      <c r="B554" s="28" t="n"/>
      <c r="C554" s="28" t="n"/>
      <c r="D554" s="28" t="n"/>
      <c r="E554" s="28" t="n"/>
      <c r="F554" s="28" t="n"/>
      <c r="G554" s="28" t="n"/>
      <c r="H554" s="28" t="n"/>
    </row>
    <row r="555">
      <c r="A555" s="90" t="n"/>
      <c r="B555" s="28" t="n"/>
      <c r="C555" s="28" t="n"/>
      <c r="D555" s="28" t="n"/>
      <c r="E555" s="28" t="n"/>
      <c r="F555" s="28" t="n"/>
      <c r="G555" s="28" t="n"/>
      <c r="H555" s="28" t="n"/>
    </row>
    <row r="556">
      <c r="A556" s="90" t="n"/>
      <c r="B556" s="28" t="n"/>
      <c r="C556" s="28" t="n"/>
      <c r="D556" s="28" t="n"/>
      <c r="E556" s="28" t="n"/>
      <c r="F556" s="28" t="n"/>
      <c r="G556" s="28" t="n"/>
      <c r="H556" s="28" t="n"/>
    </row>
    <row r="557">
      <c r="A557" s="90" t="n"/>
      <c r="B557" s="28" t="n"/>
      <c r="C557" s="28" t="n"/>
      <c r="D557" s="28" t="n"/>
      <c r="E557" s="28" t="n"/>
      <c r="F557" s="28" t="n"/>
      <c r="G557" s="28" t="n"/>
      <c r="H557" s="28" t="n"/>
    </row>
    <row r="558">
      <c r="A558" s="90" t="n"/>
      <c r="B558" s="28" t="n"/>
      <c r="C558" s="28" t="n"/>
      <c r="D558" s="28" t="n"/>
      <c r="E558" s="28" t="n"/>
      <c r="F558" s="28" t="n"/>
      <c r="G558" s="28" t="n"/>
      <c r="H558" s="28" t="n"/>
    </row>
    <row r="559">
      <c r="A559" s="90" t="n"/>
      <c r="B559" s="28" t="n"/>
      <c r="C559" s="28" t="n"/>
      <c r="D559" s="28" t="n"/>
      <c r="E559" s="28" t="n"/>
      <c r="F559" s="28" t="n"/>
      <c r="G559" s="28" t="n"/>
      <c r="H559" s="28" t="n"/>
    </row>
    <row r="560">
      <c r="A560" s="90" t="n"/>
      <c r="B560" s="28" t="n"/>
      <c r="C560" s="28" t="n"/>
      <c r="D560" s="28" t="n"/>
      <c r="E560" s="28" t="n"/>
      <c r="F560" s="28" t="n"/>
      <c r="G560" s="28" t="n"/>
      <c r="H560" s="28" t="n"/>
    </row>
    <row r="561">
      <c r="A561" s="90" t="n"/>
      <c r="B561" s="28" t="n"/>
      <c r="C561" s="28" t="n"/>
      <c r="D561" s="28" t="n"/>
      <c r="E561" s="28" t="n"/>
      <c r="F561" s="28" t="n"/>
      <c r="G561" s="28" t="n"/>
      <c r="H561" s="28" t="n"/>
    </row>
    <row r="562">
      <c r="A562" s="90" t="n"/>
      <c r="B562" s="28" t="n"/>
      <c r="C562" s="28" t="n"/>
      <c r="D562" s="28" t="n"/>
      <c r="E562" s="28" t="n"/>
      <c r="F562" s="28" t="n"/>
      <c r="G562" s="28" t="n"/>
      <c r="H562" s="28" t="n"/>
    </row>
    <row r="563">
      <c r="A563" s="90" t="n"/>
      <c r="B563" s="28" t="n"/>
      <c r="C563" s="28" t="n"/>
      <c r="D563" s="28" t="n"/>
      <c r="E563" s="28" t="n"/>
      <c r="F563" s="28" t="n"/>
      <c r="G563" s="28" t="n"/>
      <c r="H563" s="28" t="n"/>
    </row>
    <row r="564">
      <c r="A564" s="90" t="n"/>
      <c r="B564" s="28" t="n"/>
      <c r="C564" s="28" t="n"/>
      <c r="D564" s="28" t="n"/>
      <c r="E564" s="28" t="n"/>
      <c r="F564" s="28" t="n"/>
      <c r="G564" s="28" t="n"/>
      <c r="H564" s="28" t="n"/>
    </row>
    <row r="565">
      <c r="A565" s="90" t="n"/>
      <c r="B565" s="28" t="n"/>
      <c r="C565" s="28" t="n"/>
      <c r="D565" s="28" t="n"/>
      <c r="E565" s="28" t="n"/>
      <c r="F565" s="28" t="n"/>
      <c r="G565" s="28" t="n"/>
      <c r="H565" s="28" t="n"/>
    </row>
    <row r="566">
      <c r="A566" s="90" t="n"/>
      <c r="B566" s="28" t="n"/>
      <c r="C566" s="28" t="n"/>
      <c r="D566" s="28" t="n"/>
      <c r="E566" s="28" t="n"/>
      <c r="F566" s="28" t="n"/>
      <c r="G566" s="28" t="n"/>
      <c r="H566" s="28" t="n"/>
    </row>
    <row r="567">
      <c r="A567" s="90" t="n"/>
      <c r="B567" s="28" t="n"/>
      <c r="C567" s="28" t="n"/>
      <c r="D567" s="28" t="n"/>
      <c r="E567" s="28" t="n"/>
      <c r="F567" s="28" t="n"/>
      <c r="G567" s="28" t="n"/>
      <c r="H567" s="28" t="n"/>
    </row>
    <row r="568">
      <c r="A568" s="90" t="n"/>
      <c r="B568" s="28" t="n"/>
      <c r="C568" s="28" t="n"/>
      <c r="D568" s="28" t="n"/>
      <c r="E568" s="28" t="n"/>
      <c r="F568" s="28" t="n"/>
      <c r="G568" s="28" t="n"/>
      <c r="H568" s="28" t="n"/>
    </row>
    <row r="569">
      <c r="A569" s="90" t="n"/>
      <c r="B569" s="28" t="n"/>
      <c r="C569" s="28" t="n"/>
      <c r="D569" s="28" t="n"/>
      <c r="E569" s="28" t="n"/>
      <c r="F569" s="28" t="n"/>
      <c r="G569" s="28" t="n"/>
      <c r="H569" s="28" t="n"/>
    </row>
    <row r="570">
      <c r="A570" s="90" t="n"/>
      <c r="B570" s="28" t="n"/>
      <c r="C570" s="28" t="n"/>
      <c r="D570" s="28" t="n"/>
      <c r="E570" s="28" t="n"/>
      <c r="F570" s="28" t="n"/>
      <c r="G570" s="28" t="n"/>
      <c r="H570" s="28" t="n"/>
    </row>
    <row r="571">
      <c r="A571" s="90" t="n"/>
      <c r="B571" s="28" t="n"/>
      <c r="C571" s="28" t="n"/>
      <c r="D571" s="28" t="n"/>
      <c r="E571" s="28" t="n"/>
      <c r="F571" s="28" t="n"/>
      <c r="G571" s="28" t="n"/>
      <c r="H571" s="28" t="n"/>
    </row>
    <row r="572">
      <c r="A572" s="90" t="n"/>
      <c r="B572" s="28" t="n"/>
      <c r="C572" s="28" t="n"/>
      <c r="D572" s="28" t="n"/>
      <c r="E572" s="28" t="n"/>
      <c r="F572" s="28" t="n"/>
      <c r="G572" s="28" t="n"/>
      <c r="H572" s="28" t="n"/>
    </row>
    <row r="573">
      <c r="A573" s="90" t="n"/>
      <c r="B573" s="28" t="n"/>
      <c r="C573" s="28" t="n"/>
      <c r="D573" s="28" t="n"/>
      <c r="E573" s="28" t="n"/>
      <c r="F573" s="28" t="n"/>
      <c r="G573" s="28" t="n"/>
      <c r="H573" s="28" t="n"/>
    </row>
    <row r="574">
      <c r="A574" s="90" t="n"/>
      <c r="B574" s="28" t="n"/>
      <c r="C574" s="28" t="n"/>
      <c r="D574" s="28" t="n"/>
      <c r="E574" s="28" t="n"/>
      <c r="F574" s="28" t="n"/>
      <c r="G574" s="28" t="n"/>
      <c r="H574" s="28" t="n"/>
    </row>
    <row r="575">
      <c r="A575" s="90" t="n"/>
      <c r="B575" s="28" t="n"/>
      <c r="C575" s="28" t="n"/>
      <c r="D575" s="28" t="n"/>
      <c r="E575" s="28" t="n"/>
      <c r="F575" s="28" t="n"/>
      <c r="G575" s="28" t="n"/>
      <c r="H575" s="28" t="n"/>
    </row>
    <row r="576">
      <c r="A576" s="90" t="n"/>
      <c r="B576" s="28" t="n"/>
      <c r="C576" s="28" t="n"/>
      <c r="D576" s="28" t="n"/>
      <c r="E576" s="28" t="n"/>
      <c r="F576" s="28" t="n"/>
      <c r="G576" s="28" t="n"/>
      <c r="H576" s="28" t="n"/>
    </row>
    <row r="577">
      <c r="A577" s="90" t="n"/>
      <c r="B577" s="28" t="n"/>
      <c r="C577" s="28" t="n"/>
      <c r="D577" s="28" t="n"/>
      <c r="E577" s="28" t="n"/>
      <c r="F577" s="28" t="n"/>
      <c r="G577" s="28" t="n"/>
      <c r="H577" s="28" t="n"/>
    </row>
    <row r="578">
      <c r="A578" s="90" t="n"/>
      <c r="B578" s="28" t="n"/>
      <c r="C578" s="28" t="n"/>
      <c r="D578" s="28" t="n"/>
      <c r="E578" s="28" t="n"/>
      <c r="F578" s="28" t="n"/>
      <c r="G578" s="28" t="n"/>
      <c r="H578" s="28" t="n"/>
    </row>
    <row r="579">
      <c r="A579" s="90" t="n"/>
      <c r="B579" s="28" t="n"/>
      <c r="C579" s="28" t="n"/>
      <c r="D579" s="28" t="n"/>
      <c r="E579" s="28" t="n"/>
      <c r="F579" s="28" t="n"/>
      <c r="G579" s="28" t="n"/>
      <c r="H579" s="28" t="n"/>
    </row>
    <row r="580">
      <c r="A580" s="90" t="n"/>
      <c r="B580" s="28" t="n"/>
      <c r="C580" s="28" t="n"/>
      <c r="D580" s="28" t="n"/>
      <c r="E580" s="28" t="n"/>
      <c r="F580" s="28" t="n"/>
      <c r="G580" s="28" t="n"/>
      <c r="H580" s="28" t="n"/>
    </row>
    <row r="581">
      <c r="A581" s="90" t="n"/>
      <c r="B581" s="28" t="n"/>
      <c r="C581" s="28" t="n"/>
      <c r="D581" s="28" t="n"/>
      <c r="E581" s="28" t="n"/>
      <c r="F581" s="28" t="n"/>
      <c r="G581" s="28" t="n"/>
      <c r="H581" s="28" t="n"/>
    </row>
    <row r="582">
      <c r="A582" s="90" t="n"/>
      <c r="B582" s="28" t="n"/>
      <c r="C582" s="28" t="n"/>
      <c r="D582" s="28" t="n"/>
      <c r="E582" s="28" t="n"/>
      <c r="F582" s="28" t="n"/>
      <c r="G582" s="28" t="n"/>
      <c r="H582" s="28" t="n"/>
    </row>
    <row r="583">
      <c r="A583" s="90" t="n"/>
      <c r="B583" s="28" t="n"/>
      <c r="C583" s="28" t="n"/>
      <c r="D583" s="28" t="n"/>
      <c r="E583" s="28" t="n"/>
      <c r="F583" s="28" t="n"/>
      <c r="G583" s="28" t="n"/>
      <c r="H583" s="28" t="n"/>
    </row>
    <row r="584">
      <c r="A584" s="90" t="n"/>
      <c r="B584" s="28" t="n"/>
      <c r="C584" s="28" t="n"/>
      <c r="D584" s="28" t="n"/>
      <c r="E584" s="28" t="n"/>
      <c r="F584" s="28" t="n"/>
      <c r="G584" s="28" t="n"/>
      <c r="H584" s="28" t="n"/>
    </row>
    <row r="585">
      <c r="A585" s="90" t="n"/>
      <c r="B585" s="28" t="n"/>
      <c r="C585" s="28" t="n"/>
      <c r="D585" s="28" t="n"/>
      <c r="E585" s="28" t="n"/>
      <c r="F585" s="28" t="n"/>
      <c r="G585" s="28" t="n"/>
      <c r="H585" s="28" t="n"/>
    </row>
    <row r="586">
      <c r="A586" s="90" t="n"/>
      <c r="B586" s="28" t="n"/>
      <c r="C586" s="28" t="n"/>
      <c r="D586" s="28" t="n"/>
      <c r="E586" s="28" t="n"/>
      <c r="F586" s="28" t="n"/>
      <c r="G586" s="28" t="n"/>
      <c r="H586" s="28" t="n"/>
    </row>
    <row r="587">
      <c r="A587" s="90" t="n"/>
      <c r="B587" s="28" t="n"/>
      <c r="C587" s="28" t="n"/>
      <c r="D587" s="28" t="n"/>
      <c r="E587" s="28" t="n"/>
      <c r="F587" s="28" t="n"/>
      <c r="G587" s="28" t="n"/>
      <c r="H587" s="28" t="n"/>
    </row>
    <row r="588">
      <c r="A588" s="90" t="n"/>
      <c r="B588" s="28" t="n"/>
      <c r="C588" s="28" t="n"/>
      <c r="D588" s="28" t="n"/>
      <c r="E588" s="28" t="n"/>
      <c r="F588" s="28" t="n"/>
      <c r="G588" s="28" t="n"/>
      <c r="H588" s="28" t="n"/>
    </row>
    <row r="589">
      <c r="A589" s="90" t="n"/>
      <c r="B589" s="28" t="n"/>
      <c r="C589" s="28" t="n"/>
      <c r="D589" s="28" t="n"/>
      <c r="E589" s="28" t="n"/>
      <c r="F589" s="28" t="n"/>
      <c r="G589" s="28" t="n"/>
      <c r="H589" s="28" t="n"/>
    </row>
    <row r="590">
      <c r="A590" s="90" t="n"/>
      <c r="B590" s="28" t="n"/>
      <c r="C590" s="28" t="n"/>
      <c r="D590" s="28" t="n"/>
      <c r="E590" s="28" t="n"/>
      <c r="F590" s="28" t="n"/>
      <c r="G590" s="28" t="n"/>
      <c r="H590" s="28" t="n"/>
    </row>
    <row r="591">
      <c r="A591" s="90" t="n"/>
      <c r="B591" s="28" t="n"/>
      <c r="C591" s="28" t="n"/>
      <c r="D591" s="28" t="n"/>
      <c r="E591" s="28" t="n"/>
      <c r="F591" s="28" t="n"/>
      <c r="G591" s="28" t="n"/>
      <c r="H591" s="28" t="n"/>
    </row>
    <row r="592">
      <c r="A592" s="90" t="n"/>
      <c r="B592" s="28" t="n"/>
      <c r="C592" s="28" t="n"/>
      <c r="D592" s="28" t="n"/>
      <c r="E592" s="28" t="n"/>
      <c r="F592" s="28" t="n"/>
      <c r="G592" s="28" t="n"/>
      <c r="H592" s="28" t="n"/>
    </row>
    <row r="593">
      <c r="A593" s="90" t="n"/>
      <c r="B593" s="28" t="n"/>
      <c r="C593" s="28" t="n"/>
      <c r="D593" s="28" t="n"/>
      <c r="E593" s="28" t="n"/>
      <c r="F593" s="28" t="n"/>
      <c r="G593" s="28" t="n"/>
      <c r="H593" s="28" t="n"/>
    </row>
    <row r="594">
      <c r="A594" s="90" t="n"/>
      <c r="B594" s="28" t="n"/>
      <c r="C594" s="28" t="n"/>
      <c r="D594" s="28" t="n"/>
      <c r="E594" s="28" t="n"/>
      <c r="F594" s="28" t="n"/>
      <c r="G594" s="28" t="n"/>
      <c r="H594" s="28" t="n"/>
    </row>
    <row r="595">
      <c r="A595" s="90" t="n"/>
      <c r="B595" s="28" t="n"/>
      <c r="C595" s="28" t="n"/>
      <c r="D595" s="28" t="n"/>
      <c r="E595" s="28" t="n"/>
      <c r="F595" s="28" t="n"/>
      <c r="G595" s="28" t="n"/>
      <c r="H595" s="28" t="n"/>
    </row>
    <row r="596">
      <c r="A596" s="90" t="n"/>
      <c r="B596" s="28" t="n"/>
      <c r="C596" s="28" t="n"/>
      <c r="D596" s="28" t="n"/>
      <c r="E596" s="28" t="n"/>
      <c r="F596" s="28" t="n"/>
      <c r="G596" s="28" t="n"/>
      <c r="H596" s="28" t="n"/>
    </row>
    <row r="597">
      <c r="A597" s="90" t="n"/>
      <c r="B597" s="28" t="n"/>
      <c r="C597" s="28" t="n"/>
      <c r="D597" s="28" t="n"/>
      <c r="E597" s="28" t="n"/>
      <c r="F597" s="28" t="n"/>
      <c r="G597" s="28" t="n"/>
      <c r="H597" s="28" t="n"/>
    </row>
    <row r="598">
      <c r="A598" s="90" t="n"/>
      <c r="B598" s="28" t="n"/>
      <c r="C598" s="28" t="n"/>
      <c r="D598" s="28" t="n"/>
      <c r="E598" s="28" t="n"/>
      <c r="F598" s="28" t="n"/>
      <c r="G598" s="28" t="n"/>
      <c r="H598" s="28" t="n"/>
    </row>
    <row r="599">
      <c r="A599" s="90" t="n"/>
      <c r="B599" s="28" t="n"/>
      <c r="C599" s="28" t="n"/>
      <c r="D599" s="28" t="n"/>
      <c r="E599" s="28" t="n"/>
      <c r="F599" s="28" t="n"/>
      <c r="G599" s="28" t="n"/>
      <c r="H599" s="28" t="n"/>
    </row>
    <row r="600">
      <c r="A600" s="90" t="n"/>
      <c r="B600" s="28" t="n"/>
      <c r="C600" s="28" t="n"/>
      <c r="D600" s="28" t="n"/>
      <c r="E600" s="28" t="n"/>
      <c r="F600" s="28" t="n"/>
      <c r="G600" s="28" t="n"/>
      <c r="H600" s="28" t="n"/>
    </row>
    <row r="601">
      <c r="A601" s="90" t="n"/>
      <c r="B601" s="28" t="n"/>
      <c r="C601" s="28" t="n"/>
      <c r="D601" s="28" t="n"/>
      <c r="E601" s="28" t="n"/>
      <c r="F601" s="28" t="n"/>
      <c r="G601" s="28" t="n"/>
      <c r="H601" s="28" t="n"/>
    </row>
    <row r="602">
      <c r="A602" s="90" t="n"/>
      <c r="B602" s="28" t="n"/>
      <c r="C602" s="28" t="n"/>
      <c r="D602" s="28" t="n"/>
      <c r="E602" s="28" t="n"/>
      <c r="F602" s="28" t="n"/>
      <c r="G602" s="28" t="n"/>
      <c r="H602" s="28" t="n"/>
    </row>
    <row r="603">
      <c r="A603" s="90" t="n"/>
      <c r="B603" s="28" t="n"/>
      <c r="C603" s="28" t="n"/>
      <c r="D603" s="28" t="n"/>
      <c r="E603" s="28" t="n"/>
      <c r="F603" s="28" t="n"/>
      <c r="G603" s="28" t="n"/>
      <c r="H603" s="28" t="n"/>
    </row>
    <row r="604">
      <c r="A604" s="90" t="n"/>
      <c r="B604" s="28" t="n"/>
      <c r="C604" s="28" t="n"/>
      <c r="D604" s="28" t="n"/>
      <c r="E604" s="28" t="n"/>
      <c r="F604" s="28" t="n"/>
      <c r="G604" s="28" t="n"/>
      <c r="H604" s="28" t="n"/>
    </row>
    <row r="605">
      <c r="A605" s="90" t="n"/>
      <c r="B605" s="28" t="n"/>
      <c r="C605" s="28" t="n"/>
      <c r="D605" s="28" t="n"/>
      <c r="E605" s="28" t="n"/>
      <c r="F605" s="28" t="n"/>
      <c r="G605" s="28" t="n"/>
      <c r="H605" s="28" t="n"/>
    </row>
    <row r="606">
      <c r="A606" s="90" t="n"/>
      <c r="B606" s="28" t="n"/>
      <c r="C606" s="28" t="n"/>
      <c r="D606" s="28" t="n"/>
      <c r="E606" s="28" t="n"/>
      <c r="F606" s="28" t="n"/>
      <c r="G606" s="28" t="n"/>
      <c r="H606" s="28" t="n"/>
    </row>
    <row r="607">
      <c r="A607" s="90" t="n"/>
      <c r="B607" s="28" t="n"/>
      <c r="C607" s="28" t="n"/>
      <c r="D607" s="28" t="n"/>
      <c r="E607" s="28" t="n"/>
      <c r="F607" s="28" t="n"/>
      <c r="G607" s="28" t="n"/>
      <c r="H607" s="28" t="n"/>
    </row>
    <row r="608">
      <c r="A608" s="90" t="n"/>
      <c r="B608" s="28" t="n"/>
      <c r="C608" s="28" t="n"/>
      <c r="D608" s="28" t="n"/>
      <c r="E608" s="28" t="n"/>
      <c r="F608" s="28" t="n"/>
      <c r="G608" s="28" t="n"/>
      <c r="H608" s="28" t="n"/>
    </row>
    <row r="609">
      <c r="A609" s="90" t="n"/>
      <c r="B609" s="28" t="n"/>
      <c r="C609" s="28" t="n"/>
      <c r="D609" s="28" t="n"/>
      <c r="E609" s="28" t="n"/>
      <c r="F609" s="28" t="n"/>
      <c r="G609" s="28" t="n"/>
      <c r="H609" s="28" t="n"/>
    </row>
    <row r="610">
      <c r="A610" s="90" t="n"/>
      <c r="B610" s="28" t="n"/>
      <c r="C610" s="28" t="n"/>
      <c r="D610" s="28" t="n"/>
      <c r="E610" s="28" t="n"/>
      <c r="F610" s="28" t="n"/>
      <c r="G610" s="28" t="n"/>
      <c r="H610" s="28" t="n"/>
    </row>
    <row r="611">
      <c r="A611" s="90" t="n"/>
      <c r="B611" s="28" t="n"/>
      <c r="C611" s="28" t="n"/>
      <c r="D611" s="28" t="n"/>
      <c r="E611" s="28" t="n"/>
      <c r="F611" s="28" t="n"/>
      <c r="G611" s="28" t="n"/>
      <c r="H611" s="28" t="n"/>
    </row>
    <row r="612">
      <c r="A612" s="90" t="n"/>
      <c r="B612" s="28" t="n"/>
      <c r="C612" s="28" t="n"/>
      <c r="D612" s="28" t="n"/>
      <c r="E612" s="28" t="n"/>
      <c r="F612" s="28" t="n"/>
      <c r="G612" s="28" t="n"/>
      <c r="H612" s="28" t="n"/>
    </row>
    <row r="613">
      <c r="A613" s="90" t="n"/>
      <c r="B613" s="28" t="n"/>
      <c r="C613" s="28" t="n"/>
      <c r="D613" s="28" t="n"/>
      <c r="E613" s="28" t="n"/>
      <c r="F613" s="28" t="n"/>
      <c r="G613" s="28" t="n"/>
      <c r="H613" s="28" t="n"/>
    </row>
    <row r="614">
      <c r="A614" s="90" t="n"/>
      <c r="B614" s="28" t="n"/>
      <c r="C614" s="28" t="n"/>
      <c r="D614" s="28" t="n"/>
      <c r="E614" s="28" t="n"/>
      <c r="F614" s="28" t="n"/>
      <c r="G614" s="28" t="n"/>
      <c r="H614" s="28" t="n"/>
    </row>
    <row r="615">
      <c r="A615" s="90" t="n"/>
      <c r="B615" s="28" t="n"/>
      <c r="C615" s="28" t="n"/>
      <c r="D615" s="28" t="n"/>
      <c r="E615" s="28" t="n"/>
      <c r="F615" s="28" t="n"/>
      <c r="G615" s="28" t="n"/>
      <c r="H615" s="28" t="n"/>
    </row>
    <row r="616">
      <c r="A616" s="90" t="n"/>
      <c r="B616" s="28" t="n"/>
      <c r="C616" s="28" t="n"/>
      <c r="D616" s="28" t="n"/>
      <c r="E616" s="28" t="n"/>
      <c r="F616" s="28" t="n"/>
      <c r="G616" s="28" t="n"/>
      <c r="H616" s="28" t="n"/>
    </row>
    <row r="617">
      <c r="A617" s="90" t="n"/>
      <c r="B617" s="28" t="n"/>
      <c r="C617" s="28" t="n"/>
      <c r="D617" s="28" t="n"/>
      <c r="E617" s="28" t="n"/>
      <c r="F617" s="28" t="n"/>
      <c r="G617" s="28" t="n"/>
      <c r="H617" s="28" t="n"/>
    </row>
    <row r="618">
      <c r="A618" s="90" t="n"/>
      <c r="B618" s="28" t="n"/>
      <c r="C618" s="28" t="n"/>
      <c r="D618" s="28" t="n"/>
      <c r="E618" s="28" t="n"/>
      <c r="F618" s="28" t="n"/>
      <c r="G618" s="28" t="n"/>
      <c r="H618" s="28" t="n"/>
    </row>
    <row r="619">
      <c r="A619" s="90" t="n"/>
      <c r="B619" s="28" t="n"/>
      <c r="C619" s="28" t="n"/>
      <c r="D619" s="28" t="n"/>
      <c r="E619" s="28" t="n"/>
      <c r="F619" s="28" t="n"/>
      <c r="G619" s="28" t="n"/>
      <c r="H619" s="28" t="n"/>
    </row>
    <row r="620">
      <c r="A620" s="90" t="n"/>
      <c r="B620" s="28" t="n"/>
      <c r="C620" s="28" t="n"/>
      <c r="D620" s="28" t="n"/>
      <c r="E620" s="28" t="n"/>
      <c r="F620" s="28" t="n"/>
      <c r="G620" s="28" t="n"/>
      <c r="H620" s="28" t="n"/>
    </row>
    <row r="621">
      <c r="A621" s="90" t="n"/>
      <c r="B621" s="28" t="n"/>
      <c r="C621" s="28" t="n"/>
      <c r="D621" s="28" t="n"/>
      <c r="E621" s="28" t="n"/>
      <c r="F621" s="28" t="n"/>
      <c r="G621" s="28" t="n"/>
      <c r="H621" s="28" t="n"/>
    </row>
    <row r="622">
      <c r="A622" s="90" t="n"/>
      <c r="B622" s="28" t="n"/>
      <c r="C622" s="28" t="n"/>
      <c r="D622" s="28" t="n"/>
      <c r="E622" s="28" t="n"/>
      <c r="F622" s="28" t="n"/>
      <c r="G622" s="28" t="n"/>
      <c r="H622" s="28" t="n"/>
    </row>
    <row r="623">
      <c r="A623" s="90" t="n"/>
      <c r="B623" s="28" t="n"/>
      <c r="C623" s="28" t="n"/>
      <c r="D623" s="28" t="n"/>
      <c r="E623" s="28" t="n"/>
      <c r="F623" s="28" t="n"/>
      <c r="G623" s="28" t="n"/>
      <c r="H623" s="28" t="n"/>
    </row>
    <row r="624">
      <c r="A624" s="90" t="n"/>
      <c r="B624" s="28" t="n"/>
      <c r="C624" s="28" t="n"/>
      <c r="D624" s="28" t="n"/>
      <c r="E624" s="28" t="n"/>
      <c r="F624" s="28" t="n"/>
      <c r="G624" s="28" t="n"/>
      <c r="H624" s="28" t="n"/>
    </row>
    <row r="625">
      <c r="A625" s="90" t="n"/>
      <c r="B625" s="28" t="n"/>
      <c r="C625" s="28" t="n"/>
      <c r="D625" s="28" t="n"/>
      <c r="E625" s="28" t="n"/>
      <c r="F625" s="28" t="n"/>
      <c r="G625" s="28" t="n"/>
      <c r="H625" s="28" t="n"/>
    </row>
    <row r="626">
      <c r="A626" s="90" t="n"/>
      <c r="B626" s="28" t="n"/>
      <c r="C626" s="28" t="n"/>
      <c r="D626" s="28" t="n"/>
      <c r="E626" s="28" t="n"/>
      <c r="F626" s="28" t="n"/>
      <c r="G626" s="28" t="n"/>
      <c r="H626" s="28" t="n"/>
    </row>
    <row r="627">
      <c r="A627" s="90" t="n"/>
      <c r="B627" s="28" t="n"/>
      <c r="C627" s="28" t="n"/>
      <c r="D627" s="28" t="n"/>
      <c r="E627" s="28" t="n"/>
      <c r="F627" s="28" t="n"/>
      <c r="G627" s="28" t="n"/>
      <c r="H627" s="28" t="n"/>
    </row>
    <row r="628">
      <c r="A628" s="90" t="n"/>
      <c r="B628" s="28" t="n"/>
      <c r="C628" s="28" t="n"/>
      <c r="D628" s="28" t="n"/>
      <c r="E628" s="28" t="n"/>
      <c r="F628" s="28" t="n"/>
      <c r="G628" s="28" t="n"/>
      <c r="H628" s="28" t="n"/>
    </row>
    <row r="629">
      <c r="A629" s="90" t="n"/>
      <c r="B629" s="28" t="n"/>
      <c r="C629" s="28" t="n"/>
      <c r="D629" s="28" t="n"/>
      <c r="E629" s="28" t="n"/>
      <c r="F629" s="28" t="n"/>
      <c r="G629" s="28" t="n"/>
      <c r="H629" s="28" t="n"/>
    </row>
    <row r="630">
      <c r="A630" s="90" t="n"/>
      <c r="B630" s="28" t="n"/>
      <c r="C630" s="28" t="n"/>
      <c r="D630" s="28" t="n"/>
      <c r="E630" s="28" t="n"/>
      <c r="F630" s="28" t="n"/>
      <c r="G630" s="28" t="n"/>
      <c r="H630" s="28" t="n"/>
    </row>
    <row r="631">
      <c r="A631" s="90" t="n"/>
      <c r="B631" s="28" t="n"/>
      <c r="C631" s="28" t="n"/>
      <c r="D631" s="28" t="n"/>
      <c r="E631" s="28" t="n"/>
      <c r="F631" s="28" t="n"/>
      <c r="G631" s="28" t="n"/>
      <c r="H631" s="28" t="n"/>
    </row>
    <row r="632">
      <c r="A632" s="90" t="n"/>
      <c r="B632" s="28" t="n"/>
      <c r="C632" s="28" t="n"/>
      <c r="D632" s="28" t="n"/>
      <c r="E632" s="28" t="n"/>
      <c r="F632" s="28" t="n"/>
      <c r="G632" s="28" t="n"/>
      <c r="H632" s="28" t="n"/>
    </row>
    <row r="633">
      <c r="A633" s="90" t="n"/>
      <c r="B633" s="28" t="n"/>
      <c r="C633" s="28" t="n"/>
      <c r="D633" s="28" t="n"/>
      <c r="E633" s="28" t="n"/>
      <c r="F633" s="28" t="n"/>
      <c r="G633" s="28" t="n"/>
      <c r="H633" s="28" t="n"/>
    </row>
    <row r="634">
      <c r="A634" s="90" t="n"/>
      <c r="B634" s="28" t="n"/>
      <c r="C634" s="28" t="n"/>
      <c r="D634" s="28" t="n"/>
      <c r="E634" s="28" t="n"/>
      <c r="F634" s="28" t="n"/>
      <c r="G634" s="28" t="n"/>
      <c r="H634" s="28" t="n"/>
    </row>
    <row r="635">
      <c r="A635" s="90" t="n"/>
      <c r="B635" s="28" t="n"/>
      <c r="C635" s="28" t="n"/>
      <c r="D635" s="28" t="n"/>
      <c r="E635" s="28" t="n"/>
      <c r="F635" s="28" t="n"/>
      <c r="G635" s="28" t="n"/>
      <c r="H635" s="28" t="n"/>
    </row>
    <row r="636">
      <c r="A636" s="90" t="n"/>
      <c r="B636" s="28" t="n"/>
      <c r="C636" s="28" t="n"/>
      <c r="D636" s="28" t="n"/>
      <c r="E636" s="28" t="n"/>
      <c r="F636" s="28" t="n"/>
      <c r="G636" s="28" t="n"/>
      <c r="H636" s="28" t="n"/>
    </row>
    <row r="637">
      <c r="A637" s="90" t="n"/>
      <c r="B637" s="28" t="n"/>
      <c r="C637" s="28" t="n"/>
      <c r="D637" s="28" t="n"/>
      <c r="E637" s="28" t="n"/>
      <c r="F637" s="28" t="n"/>
      <c r="G637" s="28" t="n"/>
      <c r="H637" s="28" t="n"/>
    </row>
    <row r="638">
      <c r="A638" s="90" t="n"/>
      <c r="B638" s="28" t="n"/>
      <c r="C638" s="28" t="n"/>
      <c r="D638" s="28" t="n"/>
      <c r="E638" s="28" t="n"/>
      <c r="F638" s="28" t="n"/>
      <c r="G638" s="28" t="n"/>
      <c r="H638" s="28" t="n"/>
    </row>
    <row r="639">
      <c r="A639" s="90" t="n"/>
      <c r="B639" s="28" t="n"/>
      <c r="C639" s="28" t="n"/>
      <c r="D639" s="28" t="n"/>
      <c r="E639" s="28" t="n"/>
      <c r="F639" s="28" t="n"/>
      <c r="G639" s="28" t="n"/>
      <c r="H639" s="28" t="n"/>
    </row>
    <row r="640">
      <c r="A640" s="90" t="n"/>
      <c r="B640" s="28" t="n"/>
      <c r="C640" s="28" t="n"/>
      <c r="D640" s="28" t="n"/>
      <c r="E640" s="28" t="n"/>
      <c r="F640" s="28" t="n"/>
      <c r="G640" s="28" t="n"/>
      <c r="H640" s="28" t="n"/>
    </row>
    <row r="641">
      <c r="A641" s="90" t="n"/>
      <c r="B641" s="28" t="n"/>
      <c r="C641" s="28" t="n"/>
      <c r="D641" s="28" t="n"/>
      <c r="E641" s="28" t="n"/>
      <c r="F641" s="28" t="n"/>
      <c r="G641" s="28" t="n"/>
      <c r="H641" s="28" t="n"/>
    </row>
    <row r="642">
      <c r="A642" s="90" t="n"/>
      <c r="B642" s="28" t="n"/>
      <c r="C642" s="28" t="n"/>
      <c r="D642" s="28" t="n"/>
      <c r="E642" s="28" t="n"/>
      <c r="F642" s="28" t="n"/>
      <c r="G642" s="28" t="n"/>
      <c r="H642" s="28" t="n"/>
    </row>
    <row r="643">
      <c r="A643" s="90" t="n"/>
      <c r="B643" s="28" t="n"/>
      <c r="C643" s="28" t="n"/>
      <c r="D643" s="28" t="n"/>
      <c r="E643" s="28" t="n"/>
      <c r="F643" s="28" t="n"/>
      <c r="G643" s="28" t="n"/>
      <c r="H643" s="28" t="n"/>
    </row>
    <row r="644">
      <c r="A644" s="90" t="n"/>
      <c r="B644" s="28" t="n"/>
      <c r="C644" s="28" t="n"/>
      <c r="D644" s="28" t="n"/>
      <c r="E644" s="28" t="n"/>
      <c r="F644" s="28" t="n"/>
      <c r="G644" s="28" t="n"/>
      <c r="H644" s="28" t="n"/>
    </row>
    <row r="645">
      <c r="A645" s="90" t="n"/>
      <c r="B645" s="28" t="n"/>
      <c r="C645" s="28" t="n"/>
      <c r="D645" s="28" t="n"/>
      <c r="E645" s="28" t="n"/>
      <c r="F645" s="28" t="n"/>
      <c r="G645" s="28" t="n"/>
      <c r="H645" s="28" t="n"/>
    </row>
    <row r="646">
      <c r="A646" s="90" t="n"/>
      <c r="B646" s="28" t="n"/>
      <c r="C646" s="28" t="n"/>
      <c r="D646" s="28" t="n"/>
      <c r="E646" s="28" t="n"/>
      <c r="F646" s="28" t="n"/>
      <c r="G646" s="28" t="n"/>
      <c r="H646" s="28" t="n"/>
    </row>
    <row r="647">
      <c r="A647" s="90" t="n"/>
      <c r="B647" s="28" t="n"/>
      <c r="C647" s="28" t="n"/>
      <c r="D647" s="28" t="n"/>
      <c r="E647" s="28" t="n"/>
      <c r="F647" s="28" t="n"/>
      <c r="G647" s="28" t="n"/>
      <c r="H647" s="28" t="n"/>
    </row>
    <row r="648">
      <c r="A648" s="90" t="n"/>
      <c r="B648" s="28" t="n"/>
      <c r="C648" s="28" t="n"/>
      <c r="D648" s="28" t="n"/>
      <c r="E648" s="28" t="n"/>
      <c r="F648" s="28" t="n"/>
      <c r="G648" s="28" t="n"/>
      <c r="H648" s="28" t="n"/>
    </row>
    <row r="649">
      <c r="A649" s="90" t="n"/>
      <c r="B649" s="28" t="n"/>
      <c r="C649" s="28" t="n"/>
      <c r="D649" s="28" t="n"/>
      <c r="E649" s="28" t="n"/>
      <c r="F649" s="28" t="n"/>
      <c r="G649" s="28" t="n"/>
      <c r="H649" s="28" t="n"/>
    </row>
    <row r="650">
      <c r="A650" s="90" t="n"/>
      <c r="B650" s="28" t="n"/>
      <c r="C650" s="28" t="n"/>
      <c r="D650" s="28" t="n"/>
      <c r="E650" s="28" t="n"/>
      <c r="F650" s="28" t="n"/>
      <c r="G650" s="28" t="n"/>
      <c r="H650" s="28" t="n"/>
    </row>
    <row r="651">
      <c r="A651" s="90" t="n"/>
      <c r="B651" s="28" t="n"/>
      <c r="C651" s="28" t="n"/>
      <c r="D651" s="28" t="n"/>
      <c r="E651" s="28" t="n"/>
      <c r="F651" s="28" t="n"/>
      <c r="G651" s="28" t="n"/>
      <c r="H651" s="28" t="n"/>
    </row>
    <row r="652">
      <c r="A652" s="90" t="n"/>
      <c r="B652" s="28" t="n"/>
      <c r="C652" s="28" t="n"/>
      <c r="D652" s="28" t="n"/>
      <c r="E652" s="28" t="n"/>
      <c r="F652" s="28" t="n"/>
      <c r="G652" s="28" t="n"/>
      <c r="H652" s="28" t="n"/>
    </row>
    <row r="653">
      <c r="A653" s="90" t="n"/>
      <c r="B653" s="28" t="n"/>
      <c r="C653" s="28" t="n"/>
      <c r="D653" s="28" t="n"/>
      <c r="E653" s="28" t="n"/>
      <c r="F653" s="28" t="n"/>
      <c r="G653" s="28" t="n"/>
      <c r="H653" s="28" t="n"/>
    </row>
    <row r="654">
      <c r="A654" s="90" t="n"/>
      <c r="B654" s="28" t="n"/>
      <c r="C654" s="28" t="n"/>
      <c r="D654" s="28" t="n"/>
      <c r="E654" s="28" t="n"/>
      <c r="F654" s="28" t="n"/>
      <c r="G654" s="28" t="n"/>
      <c r="H654" s="28" t="n"/>
    </row>
    <row r="655">
      <c r="A655" s="90" t="n"/>
      <c r="B655" s="28" t="n"/>
      <c r="C655" s="28" t="n"/>
      <c r="D655" s="28" t="n"/>
      <c r="E655" s="28" t="n"/>
      <c r="F655" s="28" t="n"/>
      <c r="G655" s="28" t="n"/>
      <c r="H655" s="28" t="n"/>
    </row>
    <row r="656">
      <c r="A656" s="90" t="n"/>
      <c r="B656" s="28" t="n"/>
      <c r="C656" s="28" t="n"/>
      <c r="D656" s="28" t="n"/>
      <c r="E656" s="28" t="n"/>
      <c r="F656" s="28" t="n"/>
      <c r="G656" s="28" t="n"/>
      <c r="H656" s="28" t="n"/>
    </row>
    <row r="657">
      <c r="A657" s="90" t="n"/>
      <c r="B657" s="28" t="n"/>
      <c r="C657" s="28" t="n"/>
      <c r="D657" s="28" t="n"/>
      <c r="E657" s="28" t="n"/>
      <c r="F657" s="28" t="n"/>
      <c r="G657" s="28" t="n"/>
      <c r="H657" s="28" t="n"/>
    </row>
    <row r="658">
      <c r="A658" s="90" t="n"/>
      <c r="B658" s="28" t="n"/>
      <c r="C658" s="28" t="n"/>
      <c r="D658" s="28" t="n"/>
      <c r="E658" s="28" t="n"/>
      <c r="F658" s="28" t="n"/>
      <c r="G658" s="28" t="n"/>
      <c r="H658" s="28" t="n"/>
    </row>
    <row r="659">
      <c r="A659" s="90" t="n"/>
      <c r="B659" s="28" t="n"/>
      <c r="C659" s="28" t="n"/>
      <c r="D659" s="28" t="n"/>
      <c r="E659" s="28" t="n"/>
      <c r="F659" s="28" t="n"/>
      <c r="G659" s="28" t="n"/>
      <c r="H659" s="28" t="n"/>
    </row>
    <row r="660">
      <c r="A660" s="90" t="n"/>
      <c r="B660" s="28" t="n"/>
      <c r="C660" s="28" t="n"/>
      <c r="D660" s="28" t="n"/>
      <c r="E660" s="28" t="n"/>
      <c r="F660" s="28" t="n"/>
      <c r="G660" s="28" t="n"/>
      <c r="H660" s="28" t="n"/>
    </row>
    <row r="661">
      <c r="A661" s="90" t="n"/>
      <c r="B661" s="28" t="n"/>
      <c r="C661" s="28" t="n"/>
      <c r="D661" s="28" t="n"/>
      <c r="E661" s="28" t="n"/>
      <c r="F661" s="28" t="n"/>
      <c r="G661" s="28" t="n"/>
      <c r="H661" s="28" t="n"/>
    </row>
    <row r="662">
      <c r="A662" s="90" t="n"/>
      <c r="B662" s="28" t="n"/>
      <c r="C662" s="28" t="n"/>
      <c r="D662" s="28" t="n"/>
      <c r="E662" s="28" t="n"/>
      <c r="F662" s="28" t="n"/>
      <c r="G662" s="28" t="n"/>
      <c r="H662" s="28" t="n"/>
    </row>
    <row r="663">
      <c r="A663" s="90" t="n"/>
      <c r="B663" s="28" t="n"/>
      <c r="C663" s="28" t="n"/>
      <c r="D663" s="28" t="n"/>
      <c r="E663" s="28" t="n"/>
      <c r="F663" s="28" t="n"/>
      <c r="G663" s="28" t="n"/>
      <c r="H663" s="28" t="n"/>
    </row>
    <row r="664">
      <c r="A664" s="90" t="n"/>
      <c r="B664" s="28" t="n"/>
      <c r="C664" s="28" t="n"/>
      <c r="D664" s="28" t="n"/>
      <c r="E664" s="28" t="n"/>
      <c r="F664" s="28" t="n"/>
      <c r="G664" s="28" t="n"/>
      <c r="H664" s="28" t="n"/>
    </row>
    <row r="665">
      <c r="A665" s="90" t="n"/>
      <c r="B665" s="28" t="n"/>
      <c r="C665" s="28" t="n"/>
      <c r="D665" s="28" t="n"/>
      <c r="E665" s="28" t="n"/>
      <c r="F665" s="28" t="n"/>
      <c r="G665" s="28" t="n"/>
      <c r="H665" s="28" t="n"/>
    </row>
    <row r="666">
      <c r="A666" s="90" t="n"/>
      <c r="B666" s="28" t="n"/>
      <c r="C666" s="28" t="n"/>
      <c r="D666" s="28" t="n"/>
      <c r="E666" s="28" t="n"/>
      <c r="F666" s="28" t="n"/>
      <c r="G666" s="28" t="n"/>
      <c r="H666" s="28" t="n"/>
    </row>
    <row r="667">
      <c r="A667" s="90" t="n"/>
      <c r="B667" s="28" t="n"/>
      <c r="C667" s="28" t="n"/>
      <c r="D667" s="28" t="n"/>
      <c r="E667" s="28" t="n"/>
      <c r="F667" s="28" t="n"/>
      <c r="G667" s="28" t="n"/>
      <c r="H667" s="28" t="n"/>
    </row>
    <row r="668">
      <c r="A668" s="90" t="n"/>
      <c r="B668" s="28" t="n"/>
      <c r="C668" s="28" t="n"/>
      <c r="D668" s="28" t="n"/>
      <c r="E668" s="28" t="n"/>
      <c r="F668" s="28" t="n"/>
      <c r="G668" s="28" t="n"/>
      <c r="H668" s="28" t="n"/>
    </row>
    <row r="669">
      <c r="A669" s="90" t="n"/>
      <c r="B669" s="28" t="n"/>
      <c r="C669" s="28" t="n"/>
      <c r="D669" s="28" t="n"/>
      <c r="E669" s="28" t="n"/>
      <c r="F669" s="28" t="n"/>
      <c r="G669" s="28" t="n"/>
      <c r="H669" s="28" t="n"/>
    </row>
    <row r="670">
      <c r="A670" s="90" t="n"/>
      <c r="B670" s="28" t="n"/>
      <c r="C670" s="28" t="n"/>
      <c r="D670" s="28" t="n"/>
      <c r="E670" s="28" t="n"/>
      <c r="F670" s="28" t="n"/>
      <c r="G670" s="28" t="n"/>
      <c r="H670" s="28" t="n"/>
    </row>
    <row r="671">
      <c r="A671" s="90" t="n"/>
      <c r="B671" s="28" t="n"/>
      <c r="C671" s="28" t="n"/>
      <c r="D671" s="28" t="n"/>
      <c r="E671" s="28" t="n"/>
      <c r="F671" s="28" t="n"/>
      <c r="G671" s="28" t="n"/>
      <c r="H671" s="28" t="n"/>
    </row>
    <row r="672">
      <c r="A672" s="90" t="n"/>
      <c r="B672" s="28" t="n"/>
      <c r="C672" s="28" t="n"/>
      <c r="D672" s="28" t="n"/>
      <c r="E672" s="28" t="n"/>
      <c r="F672" s="28" t="n"/>
      <c r="G672" s="28" t="n"/>
      <c r="H672" s="28" t="n"/>
    </row>
    <row r="673">
      <c r="A673" s="90" t="n"/>
      <c r="B673" s="28" t="n"/>
      <c r="C673" s="28" t="n"/>
      <c r="D673" s="28" t="n"/>
      <c r="E673" s="28" t="n"/>
      <c r="F673" s="28" t="n"/>
      <c r="G673" s="28" t="n"/>
      <c r="H673" s="28" t="n"/>
    </row>
    <row r="674">
      <c r="A674" s="90" t="n"/>
      <c r="B674" s="28" t="n"/>
      <c r="C674" s="28" t="n"/>
      <c r="D674" s="28" t="n"/>
      <c r="E674" s="28" t="n"/>
      <c r="F674" s="28" t="n"/>
      <c r="G674" s="28" t="n"/>
      <c r="H674" s="28" t="n"/>
    </row>
    <row r="675">
      <c r="A675" s="90" t="n"/>
      <c r="B675" s="28" t="n"/>
      <c r="C675" s="28" t="n"/>
      <c r="D675" s="28" t="n"/>
      <c r="E675" s="28" t="n"/>
      <c r="F675" s="28" t="n"/>
      <c r="G675" s="28" t="n"/>
      <c r="H675" s="28" t="n"/>
    </row>
    <row r="676">
      <c r="A676" s="90" t="n"/>
      <c r="B676" s="28" t="n"/>
      <c r="C676" s="28" t="n"/>
      <c r="D676" s="28" t="n"/>
      <c r="E676" s="28" t="n"/>
      <c r="F676" s="28" t="n"/>
      <c r="G676" s="28" t="n"/>
      <c r="H676" s="28" t="n"/>
    </row>
    <row r="677">
      <c r="A677" s="90" t="n"/>
      <c r="B677" s="28" t="n"/>
      <c r="C677" s="28" t="n"/>
      <c r="D677" s="28" t="n"/>
      <c r="E677" s="28" t="n"/>
      <c r="F677" s="28" t="n"/>
      <c r="G677" s="28" t="n"/>
      <c r="H677" s="28" t="n"/>
    </row>
    <row r="678">
      <c r="A678" s="90" t="n"/>
      <c r="B678" s="28" t="n"/>
      <c r="C678" s="28" t="n"/>
      <c r="D678" s="28" t="n"/>
      <c r="E678" s="28" t="n"/>
      <c r="F678" s="28" t="n"/>
      <c r="G678" s="28" t="n"/>
      <c r="H678" s="28" t="n"/>
    </row>
    <row r="679">
      <c r="A679" s="90" t="n"/>
      <c r="B679" s="28" t="n"/>
      <c r="C679" s="28" t="n"/>
      <c r="D679" s="28" t="n"/>
      <c r="E679" s="28" t="n"/>
      <c r="F679" s="28" t="n"/>
      <c r="G679" s="28" t="n"/>
      <c r="H679" s="28" t="n"/>
    </row>
    <row r="680">
      <c r="A680" s="90" t="n"/>
      <c r="B680" s="28" t="n"/>
      <c r="C680" s="28" t="n"/>
      <c r="D680" s="28" t="n"/>
      <c r="E680" s="28" t="n"/>
      <c r="F680" s="28" t="n"/>
      <c r="G680" s="28" t="n"/>
      <c r="H680" s="28" t="n"/>
    </row>
    <row r="681">
      <c r="A681" s="90" t="n"/>
      <c r="B681" s="28" t="n"/>
      <c r="C681" s="28" t="n"/>
      <c r="D681" s="28" t="n"/>
      <c r="E681" s="28" t="n"/>
      <c r="F681" s="28" t="n"/>
      <c r="G681" s="28" t="n"/>
      <c r="H681" s="28" t="n"/>
    </row>
    <row r="682">
      <c r="A682" s="90" t="n"/>
      <c r="B682" s="28" t="n"/>
      <c r="C682" s="28" t="n"/>
      <c r="D682" s="28" t="n"/>
      <c r="E682" s="28" t="n"/>
      <c r="F682" s="28" t="n"/>
      <c r="G682" s="28" t="n"/>
      <c r="H682" s="28" t="n"/>
    </row>
    <row r="683">
      <c r="A683" s="90" t="n"/>
      <c r="B683" s="28" t="n"/>
      <c r="C683" s="28" t="n"/>
      <c r="D683" s="28" t="n"/>
      <c r="E683" s="28" t="n"/>
      <c r="F683" s="28" t="n"/>
      <c r="G683" s="28" t="n"/>
      <c r="H683" s="28" t="n"/>
    </row>
    <row r="684">
      <c r="A684" s="90" t="n"/>
      <c r="B684" s="28" t="n"/>
      <c r="C684" s="28" t="n"/>
      <c r="D684" s="28" t="n"/>
      <c r="E684" s="28" t="n"/>
      <c r="F684" s="28" t="n"/>
      <c r="G684" s="28" t="n"/>
      <c r="H684" s="28" t="n"/>
    </row>
    <row r="685">
      <c r="A685" s="90" t="n"/>
      <c r="B685" s="28" t="n"/>
      <c r="C685" s="28" t="n"/>
      <c r="D685" s="28" t="n"/>
      <c r="E685" s="28" t="n"/>
      <c r="F685" s="28" t="n"/>
      <c r="G685" s="28" t="n"/>
      <c r="H685" s="28" t="n"/>
    </row>
    <row r="686">
      <c r="A686" s="90" t="n"/>
      <c r="B686" s="28" t="n"/>
      <c r="C686" s="28" t="n"/>
      <c r="D686" s="28" t="n"/>
      <c r="E686" s="28" t="n"/>
      <c r="F686" s="28" t="n"/>
      <c r="G686" s="28" t="n"/>
      <c r="H686" s="28" t="n"/>
    </row>
    <row r="687">
      <c r="A687" s="90" t="n"/>
      <c r="B687" s="28" t="n"/>
      <c r="C687" s="28" t="n"/>
      <c r="D687" s="28" t="n"/>
      <c r="E687" s="28" t="n"/>
      <c r="F687" s="28" t="n"/>
      <c r="G687" s="28" t="n"/>
      <c r="H687" s="28" t="n"/>
    </row>
    <row r="688">
      <c r="A688" s="90" t="n"/>
      <c r="B688" s="28" t="n"/>
      <c r="C688" s="28" t="n"/>
      <c r="D688" s="28" t="n"/>
      <c r="E688" s="28" t="n"/>
      <c r="F688" s="28" t="n"/>
      <c r="G688" s="28" t="n"/>
      <c r="H688" s="28" t="n"/>
    </row>
    <row r="689">
      <c r="A689" s="90" t="n"/>
      <c r="B689" s="28" t="n"/>
      <c r="C689" s="28" t="n"/>
      <c r="D689" s="28" t="n"/>
      <c r="E689" s="28" t="n"/>
      <c r="F689" s="28" t="n"/>
      <c r="G689" s="28" t="n"/>
      <c r="H689" s="28" t="n"/>
    </row>
    <row r="690">
      <c r="A690" s="90" t="n"/>
      <c r="B690" s="28" t="n"/>
      <c r="C690" s="28" t="n"/>
      <c r="D690" s="28" t="n"/>
      <c r="E690" s="28" t="n"/>
      <c r="F690" s="28" t="n"/>
      <c r="G690" s="28" t="n"/>
      <c r="H690" s="28" t="n"/>
    </row>
    <row r="691">
      <c r="A691" s="90" t="n"/>
      <c r="B691" s="28" t="n"/>
      <c r="C691" s="28" t="n"/>
      <c r="D691" s="28" t="n"/>
      <c r="E691" s="28" t="n"/>
      <c r="F691" s="28" t="n"/>
      <c r="G691" s="28" t="n"/>
      <c r="H691" s="28" t="n"/>
    </row>
    <row r="692">
      <c r="A692" s="90" t="n"/>
      <c r="B692" s="28" t="n"/>
      <c r="C692" s="28" t="n"/>
      <c r="D692" s="28" t="n"/>
      <c r="E692" s="28" t="n"/>
      <c r="F692" s="28" t="n"/>
      <c r="G692" s="28" t="n"/>
      <c r="H692" s="28" t="n"/>
    </row>
    <row r="693">
      <c r="A693" s="90" t="n"/>
      <c r="B693" s="28" t="n"/>
      <c r="C693" s="28" t="n"/>
      <c r="D693" s="28" t="n"/>
      <c r="E693" s="28" t="n"/>
      <c r="F693" s="28" t="n"/>
      <c r="G693" s="28" t="n"/>
      <c r="H693" s="28" t="n"/>
    </row>
    <row r="694">
      <c r="A694" s="90" t="n"/>
      <c r="B694" s="28" t="n"/>
      <c r="C694" s="28" t="n"/>
      <c r="D694" s="28" t="n"/>
      <c r="E694" s="28" t="n"/>
      <c r="F694" s="28" t="n"/>
      <c r="G694" s="28" t="n"/>
      <c r="H694" s="28" t="n"/>
    </row>
    <row r="695">
      <c r="A695" s="90" t="n"/>
      <c r="B695" s="28" t="n"/>
      <c r="C695" s="28" t="n"/>
      <c r="D695" s="28" t="n"/>
      <c r="E695" s="28" t="n"/>
      <c r="F695" s="28" t="n"/>
      <c r="G695" s="28" t="n"/>
      <c r="H695" s="28" t="n"/>
    </row>
    <row r="696">
      <c r="A696" s="90" t="n"/>
      <c r="B696" s="28" t="n"/>
      <c r="C696" s="28" t="n"/>
      <c r="D696" s="28" t="n"/>
      <c r="E696" s="28" t="n"/>
      <c r="F696" s="28" t="n"/>
      <c r="G696" s="28" t="n"/>
      <c r="H696" s="28" t="n"/>
    </row>
    <row r="697">
      <c r="A697" s="90" t="n"/>
      <c r="B697" s="28" t="n"/>
      <c r="C697" s="28" t="n"/>
      <c r="D697" s="28" t="n"/>
      <c r="E697" s="28" t="n"/>
      <c r="F697" s="28" t="n"/>
      <c r="G697" s="28" t="n"/>
      <c r="H697" s="28" t="n"/>
    </row>
    <row r="698">
      <c r="A698" s="90" t="n"/>
      <c r="B698" s="28" t="n"/>
      <c r="C698" s="28" t="n"/>
      <c r="D698" s="28" t="n"/>
      <c r="E698" s="28" t="n"/>
      <c r="F698" s="28" t="n"/>
      <c r="G698" s="28" t="n"/>
      <c r="H698" s="28" t="n"/>
    </row>
    <row r="699">
      <c r="A699" s="90" t="n"/>
      <c r="B699" s="28" t="n"/>
      <c r="C699" s="28" t="n"/>
      <c r="D699" s="28" t="n"/>
      <c r="E699" s="28" t="n"/>
      <c r="F699" s="28" t="n"/>
      <c r="G699" s="28" t="n"/>
      <c r="H699" s="28" t="n"/>
    </row>
    <row r="700">
      <c r="A700" s="90" t="n"/>
      <c r="B700" s="28" t="n"/>
      <c r="C700" s="28" t="n"/>
      <c r="D700" s="28" t="n"/>
      <c r="E700" s="28" t="n"/>
      <c r="F700" s="28" t="n"/>
      <c r="G700" s="28" t="n"/>
      <c r="H700" s="28" t="n"/>
    </row>
    <row r="701">
      <c r="A701" s="90" t="n"/>
      <c r="B701" s="28" t="n"/>
      <c r="C701" s="28" t="n"/>
      <c r="D701" s="28" t="n"/>
      <c r="E701" s="28" t="n"/>
      <c r="F701" s="28" t="n"/>
      <c r="G701" s="28" t="n"/>
      <c r="H701" s="28" t="n"/>
    </row>
    <row r="702">
      <c r="A702" s="90" t="n"/>
      <c r="B702" s="28" t="n"/>
      <c r="C702" s="28" t="n"/>
      <c r="D702" s="28" t="n"/>
      <c r="E702" s="28" t="n"/>
      <c r="F702" s="28" t="n"/>
      <c r="G702" s="28" t="n"/>
      <c r="H702" s="28" t="n"/>
    </row>
    <row r="703">
      <c r="A703" s="90" t="n"/>
      <c r="B703" s="28" t="n"/>
      <c r="C703" s="28" t="n"/>
      <c r="D703" s="28" t="n"/>
      <c r="E703" s="28" t="n"/>
      <c r="F703" s="28" t="n"/>
      <c r="G703" s="28" t="n"/>
      <c r="H703" s="28" t="n"/>
    </row>
    <row r="704">
      <c r="A704" s="90" t="n"/>
      <c r="B704" s="28" t="n"/>
      <c r="C704" s="28" t="n"/>
      <c r="D704" s="28" t="n"/>
      <c r="E704" s="28" t="n"/>
      <c r="F704" s="28" t="n"/>
      <c r="G704" s="28" t="n"/>
      <c r="H704" s="28" t="n"/>
    </row>
    <row r="705">
      <c r="A705" s="90" t="n"/>
      <c r="B705" s="28" t="n"/>
      <c r="C705" s="28" t="n"/>
      <c r="D705" s="28" t="n"/>
      <c r="E705" s="28" t="n"/>
      <c r="F705" s="28" t="n"/>
      <c r="G705" s="28" t="n"/>
      <c r="H705" s="28" t="n"/>
    </row>
    <row r="706">
      <c r="A706" s="90" t="n"/>
      <c r="B706" s="28" t="n"/>
      <c r="C706" s="28" t="n"/>
      <c r="D706" s="28" t="n"/>
      <c r="E706" s="28" t="n"/>
      <c r="F706" s="28" t="n"/>
      <c r="G706" s="28" t="n"/>
      <c r="H706" s="28" t="n"/>
    </row>
    <row r="707">
      <c r="A707" s="90" t="n"/>
      <c r="B707" s="28" t="n"/>
      <c r="C707" s="28" t="n"/>
      <c r="D707" s="28" t="n"/>
      <c r="E707" s="28" t="n"/>
      <c r="F707" s="28" t="n"/>
      <c r="G707" s="28" t="n"/>
      <c r="H707" s="28" t="n"/>
    </row>
    <row r="708">
      <c r="A708" s="90" t="n"/>
      <c r="B708" s="28" t="n"/>
      <c r="C708" s="28" t="n"/>
      <c r="D708" s="28" t="n"/>
      <c r="E708" s="28" t="n"/>
      <c r="F708" s="28" t="n"/>
      <c r="G708" s="28" t="n"/>
      <c r="H708" s="28" t="n"/>
    </row>
    <row r="709">
      <c r="A709" s="90" t="n"/>
      <c r="B709" s="28" t="n"/>
      <c r="C709" s="28" t="n"/>
      <c r="D709" s="28" t="n"/>
      <c r="E709" s="28" t="n"/>
      <c r="F709" s="28" t="n"/>
      <c r="G709" s="28" t="n"/>
      <c r="H709" s="28" t="n"/>
    </row>
    <row r="710">
      <c r="A710" s="90" t="n"/>
      <c r="B710" s="28" t="n"/>
      <c r="C710" s="28" t="n"/>
      <c r="D710" s="28" t="n"/>
      <c r="E710" s="28" t="n"/>
      <c r="F710" s="28" t="n"/>
      <c r="G710" s="28" t="n"/>
      <c r="H710" s="28" t="n"/>
    </row>
    <row r="711">
      <c r="A711" s="90" t="n"/>
      <c r="B711" s="28" t="n"/>
      <c r="C711" s="28" t="n"/>
      <c r="D711" s="28" t="n"/>
      <c r="E711" s="28" t="n"/>
      <c r="F711" s="28" t="n"/>
      <c r="G711" s="28" t="n"/>
      <c r="H711" s="28" t="n"/>
    </row>
    <row r="712">
      <c r="A712" s="90" t="n"/>
      <c r="B712" s="28" t="n"/>
      <c r="C712" s="28" t="n"/>
      <c r="D712" s="28" t="n"/>
      <c r="E712" s="28" t="n"/>
      <c r="F712" s="28" t="n"/>
      <c r="G712" s="28" t="n"/>
      <c r="H712" s="28" t="n"/>
    </row>
    <row r="713">
      <c r="A713" s="90" t="n"/>
      <c r="B713" s="28" t="n"/>
      <c r="C713" s="28" t="n"/>
      <c r="D713" s="28" t="n"/>
      <c r="E713" s="28" t="n"/>
      <c r="F713" s="28" t="n"/>
      <c r="G713" s="28" t="n"/>
      <c r="H713" s="28" t="n"/>
    </row>
    <row r="714">
      <c r="A714" s="90" t="n"/>
      <c r="B714" s="28" t="n"/>
      <c r="C714" s="28" t="n"/>
      <c r="D714" s="28" t="n"/>
      <c r="E714" s="28" t="n"/>
      <c r="F714" s="28" t="n"/>
      <c r="G714" s="28" t="n"/>
      <c r="H714" s="28" t="n"/>
    </row>
    <row r="715">
      <c r="A715" s="90" t="n"/>
      <c r="B715" s="28" t="n"/>
      <c r="C715" s="28" t="n"/>
      <c r="D715" s="28" t="n"/>
      <c r="E715" s="28" t="n"/>
      <c r="F715" s="28" t="n"/>
      <c r="G715" s="28" t="n"/>
      <c r="H715" s="28" t="n"/>
    </row>
    <row r="716">
      <c r="A716" s="90" t="n"/>
      <c r="B716" s="28" t="n"/>
      <c r="C716" s="28" t="n"/>
      <c r="D716" s="28" t="n"/>
      <c r="E716" s="28" t="n"/>
      <c r="F716" s="28" t="n"/>
      <c r="G716" s="28" t="n"/>
      <c r="H716" s="28" t="n"/>
    </row>
    <row r="717">
      <c r="A717" s="90" t="n"/>
      <c r="B717" s="28" t="n"/>
      <c r="C717" s="28" t="n"/>
      <c r="D717" s="28" t="n"/>
      <c r="E717" s="28" t="n"/>
      <c r="F717" s="28" t="n"/>
      <c r="G717" s="28" t="n"/>
      <c r="H717" s="28" t="n"/>
    </row>
    <row r="718">
      <c r="A718" s="90" t="n"/>
      <c r="B718" s="28" t="n"/>
      <c r="C718" s="28" t="n"/>
      <c r="D718" s="28" t="n"/>
      <c r="E718" s="28" t="n"/>
      <c r="F718" s="28" t="n"/>
      <c r="G718" s="28" t="n"/>
      <c r="H718" s="28" t="n"/>
    </row>
    <row r="719">
      <c r="A719" s="90" t="n"/>
      <c r="B719" s="28" t="n"/>
      <c r="C719" s="28" t="n"/>
      <c r="D719" s="28" t="n"/>
      <c r="E719" s="28" t="n"/>
      <c r="F719" s="28" t="n"/>
      <c r="G719" s="28" t="n"/>
      <c r="H719" s="28" t="n"/>
    </row>
    <row r="720">
      <c r="A720" s="90" t="n"/>
      <c r="B720" s="28" t="n"/>
      <c r="C720" s="28" t="n"/>
      <c r="D720" s="28" t="n"/>
      <c r="E720" s="28" t="n"/>
      <c r="F720" s="28" t="n"/>
      <c r="G720" s="28" t="n"/>
      <c r="H720" s="28" t="n"/>
    </row>
    <row r="721">
      <c r="A721" s="90" t="n"/>
      <c r="B721" s="28" t="n"/>
      <c r="C721" s="28" t="n"/>
      <c r="D721" s="28" t="n"/>
      <c r="E721" s="28" t="n"/>
      <c r="F721" s="28" t="n"/>
      <c r="G721" s="28" t="n"/>
      <c r="H721" s="28" t="n"/>
    </row>
    <row r="722">
      <c r="A722" s="90" t="n"/>
      <c r="B722" s="28" t="n"/>
      <c r="C722" s="28" t="n"/>
      <c r="D722" s="28" t="n"/>
      <c r="E722" s="28" t="n"/>
      <c r="F722" s="28" t="n"/>
      <c r="G722" s="28" t="n"/>
      <c r="H722" s="28" t="n"/>
    </row>
    <row r="723">
      <c r="A723" s="90" t="n"/>
      <c r="B723" s="28" t="n"/>
      <c r="C723" s="28" t="n"/>
      <c r="D723" s="28" t="n"/>
      <c r="E723" s="28" t="n"/>
      <c r="F723" s="28" t="n"/>
      <c r="G723" s="28" t="n"/>
      <c r="H723" s="28" t="n"/>
    </row>
    <row r="724">
      <c r="A724" s="90" t="n"/>
      <c r="B724" s="28" t="n"/>
      <c r="C724" s="28" t="n"/>
      <c r="D724" s="28" t="n"/>
      <c r="E724" s="28" t="n"/>
      <c r="F724" s="28" t="n"/>
      <c r="G724" s="28" t="n"/>
      <c r="H724" s="28" t="n"/>
    </row>
    <row r="725">
      <c r="A725" s="90" t="n"/>
      <c r="B725" s="28" t="n"/>
      <c r="C725" s="28" t="n"/>
      <c r="D725" s="28" t="n"/>
      <c r="E725" s="28" t="n"/>
      <c r="F725" s="28" t="n"/>
      <c r="G725" s="28" t="n"/>
      <c r="H725" s="28" t="n"/>
    </row>
    <row r="726">
      <c r="A726" s="90" t="n"/>
      <c r="B726" s="28" t="n"/>
      <c r="C726" s="28" t="n"/>
      <c r="D726" s="28" t="n"/>
      <c r="E726" s="28" t="n"/>
      <c r="F726" s="28" t="n"/>
      <c r="G726" s="28" t="n"/>
      <c r="H726" s="28" t="n"/>
    </row>
    <row r="727">
      <c r="A727" s="90" t="n"/>
      <c r="B727" s="28" t="n"/>
      <c r="C727" s="28" t="n"/>
      <c r="D727" s="28" t="n"/>
      <c r="E727" s="28" t="n"/>
      <c r="F727" s="28" t="n"/>
      <c r="G727" s="28" t="n"/>
      <c r="H727" s="28" t="n"/>
    </row>
    <row r="728">
      <c r="A728" s="90" t="n"/>
      <c r="B728" s="28" t="n"/>
      <c r="C728" s="28" t="n"/>
      <c r="D728" s="28" t="n"/>
      <c r="E728" s="28" t="n"/>
      <c r="F728" s="28" t="n"/>
      <c r="G728" s="28" t="n"/>
      <c r="H728" s="28" t="n"/>
    </row>
    <row r="729">
      <c r="A729" s="90" t="n"/>
      <c r="B729" s="28" t="n"/>
      <c r="C729" s="28" t="n"/>
      <c r="D729" s="28" t="n"/>
      <c r="E729" s="28" t="n"/>
      <c r="F729" s="28" t="n"/>
      <c r="G729" s="28" t="n"/>
      <c r="H729" s="28" t="n"/>
    </row>
    <row r="730">
      <c r="A730" s="90" t="n"/>
      <c r="B730" s="28" t="n"/>
      <c r="C730" s="28" t="n"/>
      <c r="D730" s="28" t="n"/>
      <c r="E730" s="28" t="n"/>
      <c r="F730" s="28" t="n"/>
      <c r="G730" s="28" t="n"/>
      <c r="H730" s="28" t="n"/>
    </row>
    <row r="731">
      <c r="A731" s="90" t="n"/>
      <c r="B731" s="28" t="n"/>
      <c r="C731" s="28" t="n"/>
      <c r="D731" s="28" t="n"/>
      <c r="E731" s="28" t="n"/>
      <c r="F731" s="28" t="n"/>
      <c r="G731" s="28" t="n"/>
      <c r="H731" s="28" t="n"/>
    </row>
    <row r="732">
      <c r="A732" s="90" t="n"/>
      <c r="B732" s="28" t="n"/>
      <c r="C732" s="28" t="n"/>
      <c r="D732" s="28" t="n"/>
      <c r="E732" s="28" t="n"/>
      <c r="F732" s="28" t="n"/>
      <c r="G732" s="28" t="n"/>
      <c r="H732" s="28" t="n"/>
    </row>
    <row r="733">
      <c r="A733" s="90" t="n"/>
      <c r="B733" s="28" t="n"/>
      <c r="C733" s="28" t="n"/>
      <c r="D733" s="28" t="n"/>
      <c r="E733" s="28" t="n"/>
      <c r="F733" s="28" t="n"/>
      <c r="G733" s="28" t="n"/>
      <c r="H733" s="28" t="n"/>
    </row>
    <row r="734">
      <c r="A734" s="90" t="n"/>
      <c r="B734" s="28" t="n"/>
      <c r="C734" s="28" t="n"/>
      <c r="D734" s="28" t="n"/>
      <c r="E734" s="28" t="n"/>
      <c r="F734" s="28" t="n"/>
      <c r="G734" s="28" t="n"/>
      <c r="H734" s="28" t="n"/>
    </row>
    <row r="735">
      <c r="A735" s="90" t="n"/>
      <c r="B735" s="28" t="n"/>
      <c r="C735" s="28" t="n"/>
      <c r="D735" s="28" t="n"/>
      <c r="E735" s="28" t="n"/>
      <c r="F735" s="28" t="n"/>
      <c r="G735" s="28" t="n"/>
      <c r="H735" s="28" t="n"/>
    </row>
    <row r="736">
      <c r="A736" s="90" t="n"/>
      <c r="B736" s="28" t="n"/>
      <c r="C736" s="28" t="n"/>
      <c r="D736" s="28" t="n"/>
      <c r="E736" s="28" t="n"/>
      <c r="F736" s="28" t="n"/>
      <c r="G736" s="28" t="n"/>
      <c r="H736" s="28" t="n"/>
    </row>
    <row r="737">
      <c r="A737" s="90" t="n"/>
      <c r="B737" s="28" t="n"/>
      <c r="C737" s="28" t="n"/>
      <c r="D737" s="28" t="n"/>
      <c r="E737" s="28" t="n"/>
      <c r="F737" s="28" t="n"/>
      <c r="G737" s="28" t="n"/>
      <c r="H737" s="28" t="n"/>
    </row>
    <row r="738">
      <c r="A738" s="90" t="n"/>
      <c r="B738" s="28" t="n"/>
      <c r="C738" s="28" t="n"/>
      <c r="D738" s="28" t="n"/>
      <c r="E738" s="28" t="n"/>
      <c r="F738" s="28" t="n"/>
      <c r="G738" s="28" t="n"/>
      <c r="H738" s="28" t="n"/>
    </row>
    <row r="739">
      <c r="A739" s="90" t="n"/>
      <c r="B739" s="28" t="n"/>
      <c r="C739" s="28" t="n"/>
      <c r="D739" s="28" t="n"/>
      <c r="E739" s="28" t="n"/>
      <c r="F739" s="28" t="n"/>
      <c r="G739" s="28" t="n"/>
      <c r="H739" s="28" t="n"/>
    </row>
    <row r="740">
      <c r="A740" s="90" t="n"/>
      <c r="B740" s="28" t="n"/>
      <c r="C740" s="28" t="n"/>
      <c r="D740" s="28" t="n"/>
      <c r="E740" s="28" t="n"/>
      <c r="F740" s="28" t="n"/>
      <c r="G740" s="28" t="n"/>
      <c r="H740" s="28" t="n"/>
    </row>
    <row r="741">
      <c r="A741" s="90" t="n"/>
      <c r="B741" s="28" t="n"/>
      <c r="C741" s="28" t="n"/>
      <c r="D741" s="28" t="n"/>
      <c r="E741" s="28" t="n"/>
      <c r="F741" s="28" t="n"/>
      <c r="G741" s="28" t="n"/>
      <c r="H741" s="28" t="n"/>
    </row>
    <row r="742">
      <c r="A742" s="90" t="n"/>
      <c r="B742" s="28" t="n"/>
      <c r="C742" s="28" t="n"/>
      <c r="D742" s="28" t="n"/>
      <c r="E742" s="28" t="n"/>
      <c r="F742" s="28" t="n"/>
      <c r="G742" s="28" t="n"/>
      <c r="H742" s="28" t="n"/>
    </row>
    <row r="743">
      <c r="A743" s="90" t="n"/>
      <c r="B743" s="28" t="n"/>
      <c r="C743" s="28" t="n"/>
      <c r="D743" s="28" t="n"/>
      <c r="E743" s="28" t="n"/>
      <c r="F743" s="28" t="n"/>
      <c r="G743" s="28" t="n"/>
      <c r="H743" s="28" t="n"/>
    </row>
    <row r="744">
      <c r="A744" s="90" t="n"/>
      <c r="B744" s="28" t="n"/>
      <c r="C744" s="28" t="n"/>
      <c r="D744" s="28" t="n"/>
      <c r="E744" s="28" t="n"/>
      <c r="F744" s="28" t="n"/>
      <c r="G744" s="28" t="n"/>
      <c r="H744" s="28" t="n"/>
    </row>
    <row r="745">
      <c r="A745" s="90" t="n"/>
      <c r="B745" s="28" t="n"/>
      <c r="C745" s="28" t="n"/>
      <c r="D745" s="28" t="n"/>
      <c r="E745" s="28" t="n"/>
      <c r="F745" s="28" t="n"/>
      <c r="G745" s="28" t="n"/>
      <c r="H745" s="28" t="n"/>
    </row>
    <row r="746">
      <c r="A746" s="90" t="n"/>
      <c r="B746" s="28" t="n"/>
      <c r="C746" s="28" t="n"/>
      <c r="D746" s="28" t="n"/>
      <c r="E746" s="28" t="n"/>
      <c r="F746" s="28" t="n"/>
      <c r="G746" s="28" t="n"/>
      <c r="H746" s="28" t="n"/>
    </row>
    <row r="747">
      <c r="A747" s="90" t="n"/>
      <c r="B747" s="28" t="n"/>
      <c r="C747" s="28" t="n"/>
      <c r="D747" s="28" t="n"/>
      <c r="E747" s="28" t="n"/>
      <c r="F747" s="28" t="n"/>
      <c r="G747" s="28" t="n"/>
      <c r="H747" s="28" t="n"/>
    </row>
    <row r="748">
      <c r="A748" s="90" t="n"/>
      <c r="B748" s="28" t="n"/>
      <c r="C748" s="28" t="n"/>
      <c r="D748" s="28" t="n"/>
      <c r="E748" s="28" t="n"/>
      <c r="F748" s="28" t="n"/>
      <c r="G748" s="28" t="n"/>
      <c r="H748" s="28" t="n"/>
    </row>
    <row r="749">
      <c r="A749" s="90" t="n"/>
      <c r="B749" s="28" t="n"/>
      <c r="C749" s="28" t="n"/>
      <c r="D749" s="28" t="n"/>
      <c r="E749" s="28" t="n"/>
      <c r="F749" s="28" t="n"/>
      <c r="G749" s="28" t="n"/>
      <c r="H749" s="28" t="n"/>
    </row>
    <row r="750">
      <c r="A750" s="90" t="n"/>
      <c r="B750" s="28" t="n"/>
      <c r="C750" s="28" t="n"/>
      <c r="D750" s="28" t="n"/>
      <c r="E750" s="28" t="n"/>
      <c r="F750" s="28" t="n"/>
      <c r="G750" s="28" t="n"/>
      <c r="H750" s="28" t="n"/>
    </row>
    <row r="751">
      <c r="A751" s="90" t="n"/>
      <c r="B751" s="28" t="n"/>
      <c r="C751" s="28" t="n"/>
      <c r="D751" s="28" t="n"/>
      <c r="E751" s="28" t="n"/>
      <c r="F751" s="28" t="n"/>
      <c r="G751" s="28" t="n"/>
      <c r="H751" s="28" t="n"/>
    </row>
    <row r="752">
      <c r="A752" s="90" t="n"/>
      <c r="B752" s="28" t="n"/>
      <c r="C752" s="28" t="n"/>
      <c r="D752" s="28" t="n"/>
      <c r="E752" s="28" t="n"/>
      <c r="F752" s="28" t="n"/>
      <c r="G752" s="28" t="n"/>
      <c r="H752" s="28" t="n"/>
    </row>
    <row r="753">
      <c r="A753" s="90" t="n"/>
      <c r="B753" s="28" t="n"/>
      <c r="C753" s="28" t="n"/>
      <c r="D753" s="28" t="n"/>
      <c r="E753" s="28" t="n"/>
      <c r="F753" s="28" t="n"/>
      <c r="G753" s="28" t="n"/>
      <c r="H753" s="28" t="n"/>
    </row>
    <row r="754">
      <c r="A754" s="90" t="n"/>
      <c r="B754" s="28" t="n"/>
      <c r="C754" s="28" t="n"/>
      <c r="D754" s="28" t="n"/>
      <c r="E754" s="28" t="n"/>
      <c r="F754" s="28" t="n"/>
      <c r="G754" s="28" t="n"/>
      <c r="H754" s="28" t="n"/>
    </row>
    <row r="755">
      <c r="A755" s="90" t="n"/>
      <c r="B755" s="28" t="n"/>
      <c r="C755" s="28" t="n"/>
      <c r="D755" s="28" t="n"/>
      <c r="E755" s="28" t="n"/>
      <c r="F755" s="28" t="n"/>
      <c r="G755" s="28" t="n"/>
      <c r="H755" s="28" t="n"/>
    </row>
    <row r="756">
      <c r="A756" s="90" t="n"/>
      <c r="B756" s="28" t="n"/>
      <c r="C756" s="28" t="n"/>
      <c r="D756" s="28" t="n"/>
      <c r="E756" s="28" t="n"/>
      <c r="F756" s="28" t="n"/>
      <c r="G756" s="28" t="n"/>
      <c r="H756" s="28" t="n"/>
    </row>
    <row r="757">
      <c r="A757" s="90" t="n"/>
      <c r="B757" s="28" t="n"/>
      <c r="C757" s="28" t="n"/>
      <c r="D757" s="28" t="n"/>
      <c r="E757" s="28" t="n"/>
      <c r="F757" s="28" t="n"/>
      <c r="G757" s="28" t="n"/>
      <c r="H757" s="28" t="n"/>
    </row>
    <row r="758">
      <c r="A758" s="90" t="n"/>
      <c r="B758" s="28" t="n"/>
      <c r="C758" s="28" t="n"/>
      <c r="D758" s="28" t="n"/>
      <c r="E758" s="28" t="n"/>
      <c r="F758" s="28" t="n"/>
      <c r="G758" s="28" t="n"/>
      <c r="H758" s="28" t="n"/>
    </row>
    <row r="759">
      <c r="A759" s="90" t="n"/>
      <c r="B759" s="28" t="n"/>
      <c r="C759" s="28" t="n"/>
      <c r="D759" s="28" t="n"/>
      <c r="E759" s="28" t="n"/>
      <c r="F759" s="28" t="n"/>
      <c r="G759" s="28" t="n"/>
      <c r="H759" s="28" t="n"/>
    </row>
    <row r="760">
      <c r="A760" s="90" t="n"/>
      <c r="B760" s="28" t="n"/>
      <c r="C760" s="28" t="n"/>
      <c r="D760" s="28" t="n"/>
      <c r="E760" s="28" t="n"/>
      <c r="F760" s="28" t="n"/>
      <c r="G760" s="28" t="n"/>
      <c r="H760" s="28" t="n"/>
    </row>
    <row r="761">
      <c r="A761" s="90" t="n"/>
      <c r="B761" s="28" t="n"/>
      <c r="C761" s="28" t="n"/>
      <c r="D761" s="28" t="n"/>
      <c r="E761" s="28" t="n"/>
      <c r="F761" s="28" t="n"/>
      <c r="G761" s="28" t="n"/>
      <c r="H761" s="28" t="n"/>
    </row>
    <row r="762">
      <c r="A762" s="90" t="n"/>
      <c r="B762" s="28" t="n"/>
      <c r="C762" s="28" t="n"/>
      <c r="D762" s="28" t="n"/>
      <c r="E762" s="28" t="n"/>
      <c r="F762" s="28" t="n"/>
      <c r="G762" s="28" t="n"/>
      <c r="H762" s="28" t="n"/>
    </row>
    <row r="763">
      <c r="A763" s="90" t="n"/>
      <c r="B763" s="28" t="n"/>
      <c r="C763" s="28" t="n"/>
      <c r="D763" s="28" t="n"/>
      <c r="E763" s="28" t="n"/>
      <c r="F763" s="28" t="n"/>
      <c r="G763" s="28" t="n"/>
      <c r="H763" s="28" t="n"/>
    </row>
    <row r="764">
      <c r="A764" s="90" t="n"/>
      <c r="B764" s="28" t="n"/>
      <c r="C764" s="28" t="n"/>
      <c r="D764" s="28" t="n"/>
      <c r="E764" s="28" t="n"/>
      <c r="F764" s="28" t="n"/>
      <c r="G764" s="28" t="n"/>
      <c r="H764" s="28" t="n"/>
    </row>
    <row r="765">
      <c r="A765" s="90" t="n"/>
      <c r="B765" s="28" t="n"/>
      <c r="C765" s="28" t="n"/>
      <c r="D765" s="28" t="n"/>
      <c r="E765" s="28" t="n"/>
      <c r="F765" s="28" t="n"/>
      <c r="G765" s="28" t="n"/>
      <c r="H765" s="28" t="n"/>
    </row>
    <row r="766">
      <c r="A766" s="90" t="n"/>
      <c r="B766" s="28" t="n"/>
      <c r="C766" s="28" t="n"/>
      <c r="D766" s="28" t="n"/>
      <c r="E766" s="28" t="n"/>
      <c r="F766" s="28" t="n"/>
      <c r="G766" s="28" t="n"/>
      <c r="H766" s="28" t="n"/>
    </row>
    <row r="767">
      <c r="A767" s="90" t="n"/>
      <c r="B767" s="28" t="n"/>
      <c r="C767" s="28" t="n"/>
      <c r="D767" s="28" t="n"/>
      <c r="E767" s="28" t="n"/>
      <c r="F767" s="28" t="n"/>
      <c r="G767" s="28" t="n"/>
      <c r="H767" s="28" t="n"/>
    </row>
    <row r="768">
      <c r="A768" s="90" t="n"/>
      <c r="B768" s="28" t="n"/>
      <c r="C768" s="28" t="n"/>
      <c r="D768" s="28" t="n"/>
      <c r="E768" s="28" t="n"/>
      <c r="F768" s="28" t="n"/>
      <c r="G768" s="28" t="n"/>
      <c r="H768" s="28" t="n"/>
    </row>
    <row r="769">
      <c r="A769" s="90" t="n"/>
      <c r="B769" s="28" t="n"/>
      <c r="C769" s="28" t="n"/>
      <c r="D769" s="28" t="n"/>
      <c r="E769" s="28" t="n"/>
      <c r="F769" s="28" t="n"/>
      <c r="G769" s="28" t="n"/>
      <c r="H769" s="28" t="n"/>
    </row>
    <row r="770">
      <c r="A770" s="90" t="n"/>
      <c r="B770" s="28" t="n"/>
      <c r="C770" s="28" t="n"/>
      <c r="D770" s="28" t="n"/>
      <c r="E770" s="28" t="n"/>
      <c r="F770" s="28" t="n"/>
      <c r="G770" s="28" t="n"/>
      <c r="H770" s="28" t="n"/>
    </row>
    <row r="771">
      <c r="A771" s="90" t="n"/>
      <c r="B771" s="28" t="n"/>
      <c r="C771" s="28" t="n"/>
      <c r="D771" s="28" t="n"/>
      <c r="E771" s="28" t="n"/>
      <c r="F771" s="28" t="n"/>
      <c r="G771" s="28" t="n"/>
      <c r="H771" s="28" t="n"/>
    </row>
    <row r="772">
      <c r="A772" s="90" t="n"/>
      <c r="B772" s="28" t="n"/>
      <c r="C772" s="28" t="n"/>
      <c r="D772" s="28" t="n"/>
      <c r="E772" s="28" t="n"/>
      <c r="F772" s="28" t="n"/>
      <c r="G772" s="28" t="n"/>
      <c r="H772" s="28" t="n"/>
    </row>
    <row r="773">
      <c r="A773" s="90" t="n"/>
      <c r="B773" s="28" t="n"/>
      <c r="C773" s="28" t="n"/>
      <c r="D773" s="28" t="n"/>
      <c r="E773" s="28" t="n"/>
      <c r="F773" s="28" t="n"/>
      <c r="G773" s="28" t="n"/>
      <c r="H773" s="28" t="n"/>
    </row>
    <row r="774">
      <c r="A774" s="90" t="n"/>
      <c r="B774" s="28" t="n"/>
      <c r="C774" s="28" t="n"/>
      <c r="D774" s="28" t="n"/>
      <c r="E774" s="28" t="n"/>
      <c r="F774" s="28" t="n"/>
      <c r="G774" s="28" t="n"/>
      <c r="H774" s="28" t="n"/>
    </row>
    <row r="775">
      <c r="A775" s="90" t="n"/>
      <c r="B775" s="28" t="n"/>
      <c r="C775" s="28" t="n"/>
      <c r="D775" s="28" t="n"/>
      <c r="E775" s="28" t="n"/>
      <c r="F775" s="28" t="n"/>
      <c r="G775" s="28" t="n"/>
      <c r="H775" s="28" t="n"/>
    </row>
    <row r="776">
      <c r="A776" s="90" t="n"/>
      <c r="B776" s="28" t="n"/>
      <c r="C776" s="28" t="n"/>
      <c r="D776" s="28" t="n"/>
      <c r="E776" s="28" t="n"/>
      <c r="F776" s="28" t="n"/>
      <c r="G776" s="28" t="n"/>
      <c r="H776" s="28" t="n"/>
    </row>
    <row r="777">
      <c r="A777" s="90" t="n"/>
      <c r="B777" s="28" t="n"/>
      <c r="C777" s="28" t="n"/>
      <c r="D777" s="28" t="n"/>
      <c r="E777" s="28" t="n"/>
      <c r="F777" s="28" t="n"/>
      <c r="G777" s="28" t="n"/>
      <c r="H777" s="28" t="n"/>
    </row>
    <row r="778">
      <c r="A778" s="90" t="n"/>
      <c r="B778" s="28" t="n"/>
      <c r="C778" s="28" t="n"/>
      <c r="D778" s="28" t="n"/>
      <c r="E778" s="28" t="n"/>
      <c r="F778" s="28" t="n"/>
      <c r="G778" s="28" t="n"/>
      <c r="H778" s="28" t="n"/>
    </row>
    <row r="779">
      <c r="A779" s="90" t="n"/>
      <c r="B779" s="28" t="n"/>
      <c r="C779" s="28" t="n"/>
      <c r="D779" s="28" t="n"/>
      <c r="E779" s="28" t="n"/>
      <c r="F779" s="28" t="n"/>
      <c r="G779" s="28" t="n"/>
      <c r="H779" s="28" t="n"/>
    </row>
    <row r="780">
      <c r="A780" s="90" t="n"/>
      <c r="B780" s="28" t="n"/>
      <c r="C780" s="28" t="n"/>
      <c r="D780" s="28" t="n"/>
      <c r="E780" s="28" t="n"/>
      <c r="F780" s="28" t="n"/>
      <c r="G780" s="28" t="n"/>
      <c r="H780" s="28" t="n"/>
    </row>
    <row r="781">
      <c r="A781" s="90" t="n"/>
      <c r="B781" s="28" t="n"/>
      <c r="C781" s="28" t="n"/>
      <c r="D781" s="28" t="n"/>
      <c r="E781" s="28" t="n"/>
      <c r="F781" s="28" t="n"/>
      <c r="G781" s="28" t="n"/>
      <c r="H781" s="28" t="n"/>
    </row>
    <row r="782">
      <c r="A782" s="90" t="n"/>
      <c r="B782" s="28" t="n"/>
      <c r="C782" s="28" t="n"/>
      <c r="D782" s="28" t="n"/>
      <c r="E782" s="28" t="n"/>
      <c r="F782" s="28" t="n"/>
      <c r="G782" s="28" t="n"/>
      <c r="H782" s="28" t="n"/>
    </row>
    <row r="783">
      <c r="A783" s="90" t="n"/>
      <c r="B783" s="28" t="n"/>
      <c r="C783" s="28" t="n"/>
      <c r="D783" s="28" t="n"/>
      <c r="E783" s="28" t="n"/>
      <c r="F783" s="28" t="n"/>
      <c r="G783" s="28" t="n"/>
      <c r="H783" s="28" t="n"/>
    </row>
    <row r="784">
      <c r="A784" s="90" t="n"/>
      <c r="B784" s="28" t="n"/>
      <c r="C784" s="28" t="n"/>
      <c r="D784" s="28" t="n"/>
      <c r="E784" s="28" t="n"/>
      <c r="F784" s="28" t="n"/>
      <c r="G784" s="28" t="n"/>
      <c r="H784" s="28" t="n"/>
    </row>
    <row r="785">
      <c r="A785" s="90" t="n"/>
      <c r="B785" s="28" t="n"/>
      <c r="C785" s="28" t="n"/>
      <c r="D785" s="28" t="n"/>
      <c r="E785" s="28" t="n"/>
      <c r="F785" s="28" t="n"/>
      <c r="G785" s="28" t="n"/>
      <c r="H785" s="28" t="n"/>
    </row>
    <row r="786">
      <c r="A786" s="90" t="n"/>
      <c r="B786" s="28" t="n"/>
      <c r="C786" s="28" t="n"/>
      <c r="D786" s="28" t="n"/>
      <c r="E786" s="28" t="n"/>
      <c r="F786" s="28" t="n"/>
      <c r="G786" s="28" t="n"/>
      <c r="H786" s="28" t="n"/>
    </row>
    <row r="787">
      <c r="A787" s="90" t="n"/>
      <c r="B787" s="28" t="n"/>
      <c r="C787" s="28" t="n"/>
      <c r="D787" s="28" t="n"/>
      <c r="E787" s="28" t="n"/>
      <c r="F787" s="28" t="n"/>
      <c r="G787" s="28" t="n"/>
      <c r="H787" s="28" t="n"/>
    </row>
    <row r="788">
      <c r="A788" s="90" t="n"/>
      <c r="B788" s="28" t="n"/>
      <c r="C788" s="28" t="n"/>
      <c r="D788" s="28" t="n"/>
      <c r="E788" s="28" t="n"/>
      <c r="F788" s="28" t="n"/>
      <c r="G788" s="28" t="n"/>
      <c r="H788" s="28" t="n"/>
    </row>
    <row r="789">
      <c r="A789" s="90" t="n"/>
      <c r="B789" s="28" t="n"/>
      <c r="C789" s="28" t="n"/>
      <c r="D789" s="28" t="n"/>
      <c r="E789" s="28" t="n"/>
      <c r="F789" s="28" t="n"/>
      <c r="G789" s="28" t="n"/>
      <c r="H789" s="28" t="n"/>
    </row>
    <row r="790">
      <c r="A790" s="90" t="n"/>
      <c r="B790" s="28" t="n"/>
      <c r="C790" s="28" t="n"/>
      <c r="D790" s="28" t="n"/>
      <c r="E790" s="28" t="n"/>
      <c r="F790" s="28" t="n"/>
      <c r="G790" s="28" t="n"/>
      <c r="H790" s="28" t="n"/>
    </row>
    <row r="791">
      <c r="A791" s="90" t="n"/>
      <c r="B791" s="28" t="n"/>
      <c r="C791" s="28" t="n"/>
      <c r="D791" s="28" t="n"/>
      <c r="E791" s="28" t="n"/>
      <c r="F791" s="28" t="n"/>
      <c r="G791" s="28" t="n"/>
      <c r="H791" s="28" t="n"/>
    </row>
    <row r="792">
      <c r="A792" s="90" t="n"/>
      <c r="B792" s="28" t="n"/>
      <c r="C792" s="28" t="n"/>
      <c r="D792" s="28" t="n"/>
      <c r="E792" s="28" t="n"/>
      <c r="F792" s="28" t="n"/>
      <c r="G792" s="28" t="n"/>
      <c r="H792" s="28" t="n"/>
    </row>
    <row r="793">
      <c r="A793" s="90" t="n"/>
      <c r="B793" s="28" t="n"/>
      <c r="C793" s="28" t="n"/>
      <c r="D793" s="28" t="n"/>
      <c r="E793" s="28" t="n"/>
      <c r="F793" s="28" t="n"/>
      <c r="G793" s="28" t="n"/>
      <c r="H793" s="28" t="n"/>
    </row>
    <row r="794">
      <c r="A794" s="90" t="n"/>
      <c r="B794" s="28" t="n"/>
      <c r="C794" s="28" t="n"/>
      <c r="D794" s="28" t="n"/>
      <c r="E794" s="28" t="n"/>
      <c r="F794" s="28" t="n"/>
      <c r="G794" s="28" t="n"/>
      <c r="H794" s="28" t="n"/>
    </row>
    <row r="795">
      <c r="A795" s="90" t="n"/>
      <c r="B795" s="28" t="n"/>
      <c r="C795" s="28" t="n"/>
      <c r="D795" s="28" t="n"/>
      <c r="E795" s="28" t="n"/>
      <c r="F795" s="28" t="n"/>
      <c r="G795" s="28" t="n"/>
      <c r="H795" s="28" t="n"/>
    </row>
    <row r="796">
      <c r="A796" s="90" t="n"/>
      <c r="B796" s="28" t="n"/>
      <c r="C796" s="28" t="n"/>
      <c r="D796" s="28" t="n"/>
      <c r="E796" s="28" t="n"/>
      <c r="F796" s="28" t="n"/>
      <c r="G796" s="28" t="n"/>
      <c r="H796" s="28" t="n"/>
    </row>
    <row r="797">
      <c r="A797" s="90" t="n"/>
      <c r="B797" s="28" t="n"/>
      <c r="C797" s="28" t="n"/>
      <c r="D797" s="28" t="n"/>
      <c r="E797" s="28" t="n"/>
      <c r="F797" s="28" t="n"/>
      <c r="G797" s="28" t="n"/>
      <c r="H797" s="28" t="n"/>
    </row>
    <row r="798">
      <c r="A798" s="90" t="n"/>
      <c r="B798" s="28" t="n"/>
      <c r="C798" s="28" t="n"/>
      <c r="D798" s="28" t="n"/>
      <c r="E798" s="28" t="n"/>
      <c r="F798" s="28" t="n"/>
      <c r="G798" s="28" t="n"/>
      <c r="H798" s="28" t="n"/>
    </row>
    <row r="799">
      <c r="A799" s="90" t="n"/>
      <c r="B799" s="28" t="n"/>
      <c r="C799" s="28" t="n"/>
      <c r="D799" s="28" t="n"/>
      <c r="E799" s="28" t="n"/>
      <c r="F799" s="28" t="n"/>
      <c r="G799" s="28" t="n"/>
      <c r="H799" s="28" t="n"/>
    </row>
    <row r="800">
      <c r="A800" s="90" t="n"/>
      <c r="B800" s="28" t="n"/>
      <c r="C800" s="28" t="n"/>
      <c r="D800" s="28" t="n"/>
      <c r="E800" s="28" t="n"/>
      <c r="F800" s="28" t="n"/>
      <c r="G800" s="28" t="n"/>
      <c r="H800" s="28" t="n"/>
    </row>
    <row r="801">
      <c r="A801" s="90" t="n"/>
      <c r="B801" s="28" t="n"/>
      <c r="C801" s="28" t="n"/>
      <c r="D801" s="28" t="n"/>
      <c r="E801" s="28" t="n"/>
      <c r="F801" s="28" t="n"/>
      <c r="G801" s="28" t="n"/>
      <c r="H801" s="28" t="n"/>
    </row>
    <row r="802">
      <c r="A802" s="90" t="n"/>
      <c r="B802" s="28" t="n"/>
      <c r="C802" s="28" t="n"/>
      <c r="D802" s="28" t="n"/>
      <c r="E802" s="28" t="n"/>
      <c r="F802" s="28" t="n"/>
      <c r="G802" s="28" t="n"/>
      <c r="H802" s="28" t="n"/>
    </row>
    <row r="803">
      <c r="A803" s="90" t="n"/>
      <c r="B803" s="28" t="n"/>
      <c r="C803" s="28" t="n"/>
      <c r="D803" s="28" t="n"/>
      <c r="E803" s="28" t="n"/>
      <c r="F803" s="28" t="n"/>
      <c r="G803" s="28" t="n"/>
      <c r="H803" s="28" t="n"/>
    </row>
    <row r="804">
      <c r="A804" s="90" t="n"/>
      <c r="B804" s="28" t="n"/>
      <c r="C804" s="28" t="n"/>
      <c r="D804" s="28" t="n"/>
      <c r="E804" s="28" t="n"/>
      <c r="F804" s="28" t="n"/>
      <c r="G804" s="28" t="n"/>
      <c r="H804" s="28" t="n"/>
    </row>
    <row r="805">
      <c r="A805" s="90" t="n"/>
      <c r="B805" s="28" t="n"/>
      <c r="C805" s="28" t="n"/>
      <c r="D805" s="28" t="n"/>
      <c r="E805" s="28" t="n"/>
      <c r="F805" s="28" t="n"/>
      <c r="G805" s="28" t="n"/>
      <c r="H805" s="28" t="n"/>
    </row>
    <row r="806">
      <c r="A806" s="90" t="n"/>
      <c r="B806" s="28" t="n"/>
      <c r="C806" s="28" t="n"/>
      <c r="D806" s="28" t="n"/>
      <c r="E806" s="28" t="n"/>
      <c r="F806" s="28" t="n"/>
      <c r="G806" s="28" t="n"/>
      <c r="H806" s="28" t="n"/>
    </row>
    <row r="807">
      <c r="A807" s="90" t="n"/>
      <c r="B807" s="28" t="n"/>
      <c r="C807" s="28" t="n"/>
      <c r="D807" s="28" t="n"/>
      <c r="E807" s="28" t="n"/>
      <c r="F807" s="28" t="n"/>
      <c r="G807" s="28" t="n"/>
      <c r="H807" s="28" t="n"/>
    </row>
    <row r="808">
      <c r="A808" s="90" t="n"/>
      <c r="B808" s="28" t="n"/>
      <c r="C808" s="28" t="n"/>
      <c r="D808" s="28" t="n"/>
      <c r="E808" s="28" t="n"/>
      <c r="F808" s="28" t="n"/>
      <c r="G808" s="28" t="n"/>
      <c r="H808" s="28" t="n"/>
    </row>
    <row r="809">
      <c r="A809" s="90" t="n"/>
      <c r="B809" s="28" t="n"/>
      <c r="C809" s="28" t="n"/>
      <c r="D809" s="28" t="n"/>
      <c r="E809" s="28" t="n"/>
      <c r="F809" s="28" t="n"/>
      <c r="G809" s="28" t="n"/>
      <c r="H809" s="28" t="n"/>
    </row>
    <row r="810">
      <c r="A810" s="90" t="n"/>
      <c r="B810" s="28" t="n"/>
      <c r="C810" s="28" t="n"/>
      <c r="D810" s="28" t="n"/>
      <c r="E810" s="28" t="n"/>
      <c r="F810" s="28" t="n"/>
      <c r="G810" s="28" t="n"/>
      <c r="H810" s="28" t="n"/>
    </row>
    <row r="811">
      <c r="A811" s="90" t="n"/>
      <c r="B811" s="28" t="n"/>
      <c r="C811" s="28" t="n"/>
      <c r="D811" s="28" t="n"/>
      <c r="E811" s="28" t="n"/>
      <c r="F811" s="28" t="n"/>
      <c r="G811" s="28" t="n"/>
      <c r="H811" s="28" t="n"/>
    </row>
    <row r="812">
      <c r="A812" s="90" t="n"/>
      <c r="B812" s="28" t="n"/>
      <c r="C812" s="28" t="n"/>
      <c r="D812" s="28" t="n"/>
      <c r="E812" s="28" t="n"/>
      <c r="F812" s="28" t="n"/>
      <c r="G812" s="28" t="n"/>
      <c r="H812" s="28" t="n"/>
    </row>
    <row r="813">
      <c r="A813" s="90" t="n"/>
      <c r="B813" s="28" t="n"/>
      <c r="C813" s="28" t="n"/>
      <c r="D813" s="28" t="n"/>
      <c r="E813" s="28" t="n"/>
      <c r="F813" s="28" t="n"/>
      <c r="G813" s="28" t="n"/>
      <c r="H813" s="28" t="n"/>
    </row>
    <row r="814">
      <c r="A814" s="90" t="n"/>
      <c r="B814" s="28" t="n"/>
      <c r="C814" s="28" t="n"/>
      <c r="D814" s="28" t="n"/>
      <c r="E814" s="28" t="n"/>
      <c r="F814" s="28" t="n"/>
      <c r="G814" s="28" t="n"/>
      <c r="H814" s="28" t="n"/>
    </row>
    <row r="815">
      <c r="A815" s="90" t="n"/>
      <c r="B815" s="28" t="n"/>
      <c r="C815" s="28" t="n"/>
      <c r="D815" s="28" t="n"/>
      <c r="E815" s="28" t="n"/>
      <c r="F815" s="28" t="n"/>
      <c r="G815" s="28" t="n"/>
      <c r="H815" s="28" t="n"/>
    </row>
    <row r="816">
      <c r="A816" s="90" t="n"/>
      <c r="B816" s="28" t="n"/>
      <c r="C816" s="28" t="n"/>
      <c r="D816" s="28" t="n"/>
      <c r="E816" s="28" t="n"/>
      <c r="F816" s="28" t="n"/>
      <c r="G816" s="28" t="n"/>
      <c r="H816" s="28" t="n"/>
    </row>
    <row r="817">
      <c r="A817" s="90" t="n"/>
      <c r="B817" s="28" t="n"/>
      <c r="C817" s="28" t="n"/>
      <c r="D817" s="28" t="n"/>
      <c r="E817" s="28" t="n"/>
      <c r="F817" s="28" t="n"/>
      <c r="G817" s="28" t="n"/>
      <c r="H817" s="28" t="n"/>
    </row>
    <row r="818">
      <c r="A818" s="90" t="n"/>
      <c r="B818" s="28" t="n"/>
      <c r="C818" s="28" t="n"/>
      <c r="D818" s="28" t="n"/>
      <c r="E818" s="28" t="n"/>
      <c r="F818" s="28" t="n"/>
      <c r="G818" s="28" t="n"/>
      <c r="H818" s="28" t="n"/>
    </row>
    <row r="819">
      <c r="A819" s="90" t="n"/>
      <c r="B819" s="28" t="n"/>
      <c r="C819" s="28" t="n"/>
      <c r="D819" s="28" t="n"/>
      <c r="E819" s="28" t="n"/>
      <c r="F819" s="28" t="n"/>
      <c r="G819" s="28" t="n"/>
      <c r="H819" s="28" t="n"/>
    </row>
    <row r="820">
      <c r="A820" s="90" t="n"/>
      <c r="B820" s="28" t="n"/>
      <c r="C820" s="28" t="n"/>
      <c r="D820" s="28" t="n"/>
      <c r="E820" s="28" t="n"/>
      <c r="F820" s="28" t="n"/>
      <c r="G820" s="28" t="n"/>
      <c r="H820" s="28" t="n"/>
    </row>
    <row r="821">
      <c r="A821" s="90" t="n"/>
      <c r="B821" s="28" t="n"/>
      <c r="C821" s="28" t="n"/>
      <c r="D821" s="28" t="n"/>
      <c r="E821" s="28" t="n"/>
      <c r="F821" s="28" t="n"/>
      <c r="G821" s="28" t="n"/>
      <c r="H821" s="28" t="n"/>
    </row>
    <row r="822">
      <c r="A822" s="90" t="n"/>
      <c r="B822" s="28" t="n"/>
      <c r="C822" s="28" t="n"/>
      <c r="D822" s="28" t="n"/>
      <c r="E822" s="28" t="n"/>
      <c r="F822" s="28" t="n"/>
      <c r="G822" s="28" t="n"/>
      <c r="H822" s="28" t="n"/>
    </row>
    <row r="823">
      <c r="A823" s="90" t="n"/>
      <c r="B823" s="28" t="n"/>
      <c r="C823" s="28" t="n"/>
      <c r="D823" s="28" t="n"/>
      <c r="E823" s="28" t="n"/>
      <c r="F823" s="28" t="n"/>
      <c r="G823" s="28" t="n"/>
      <c r="H823" s="28" t="n"/>
    </row>
    <row r="824">
      <c r="A824" s="90" t="n"/>
      <c r="B824" s="28" t="n"/>
      <c r="C824" s="28" t="n"/>
      <c r="D824" s="28" t="n"/>
      <c r="E824" s="28" t="n"/>
      <c r="F824" s="28" t="n"/>
      <c r="G824" s="28" t="n"/>
      <c r="H824" s="28" t="n"/>
    </row>
    <row r="825">
      <c r="A825" s="90" t="n"/>
      <c r="B825" s="28" t="n"/>
      <c r="C825" s="28" t="n"/>
      <c r="D825" s="28" t="n"/>
      <c r="E825" s="28" t="n"/>
      <c r="F825" s="28" t="n"/>
      <c r="G825" s="28" t="n"/>
      <c r="H825" s="28" t="n"/>
    </row>
    <row r="826">
      <c r="A826" s="90" t="n"/>
      <c r="B826" s="28" t="n"/>
      <c r="C826" s="28" t="n"/>
      <c r="D826" s="28" t="n"/>
      <c r="E826" s="28" t="n"/>
      <c r="F826" s="28" t="n"/>
      <c r="G826" s="28" t="n"/>
      <c r="H826" s="28" t="n"/>
    </row>
    <row r="827">
      <c r="A827" s="90" t="n"/>
      <c r="B827" s="28" t="n"/>
      <c r="C827" s="28" t="n"/>
      <c r="D827" s="28" t="n"/>
      <c r="E827" s="28" t="n"/>
      <c r="F827" s="28" t="n"/>
      <c r="G827" s="28" t="n"/>
      <c r="H827" s="28" t="n"/>
    </row>
    <row r="828">
      <c r="A828" s="90" t="n"/>
      <c r="B828" s="28" t="n"/>
      <c r="C828" s="28" t="n"/>
      <c r="D828" s="28" t="n"/>
      <c r="E828" s="28" t="n"/>
      <c r="F828" s="28" t="n"/>
      <c r="G828" s="28" t="n"/>
      <c r="H828" s="28" t="n"/>
    </row>
    <row r="829">
      <c r="A829" s="90" t="n"/>
      <c r="B829" s="28" t="n"/>
      <c r="C829" s="28" t="n"/>
      <c r="D829" s="28" t="n"/>
      <c r="E829" s="28" t="n"/>
      <c r="F829" s="28" t="n"/>
      <c r="G829" s="28" t="n"/>
      <c r="H829" s="28" t="n"/>
    </row>
    <row r="830">
      <c r="A830" s="90" t="n"/>
      <c r="B830" s="28" t="n"/>
      <c r="C830" s="28" t="n"/>
      <c r="D830" s="28" t="n"/>
      <c r="E830" s="28" t="n"/>
      <c r="F830" s="28" t="n"/>
      <c r="G830" s="28" t="n"/>
      <c r="H830" s="28" t="n"/>
    </row>
    <row r="831">
      <c r="A831" s="90" t="n"/>
      <c r="B831" s="28" t="n"/>
      <c r="C831" s="28" t="n"/>
      <c r="D831" s="28" t="n"/>
      <c r="E831" s="28" t="n"/>
      <c r="F831" s="28" t="n"/>
      <c r="G831" s="28" t="n"/>
      <c r="H831" s="28" t="n"/>
    </row>
    <row r="832">
      <c r="A832" s="90" t="n"/>
      <c r="B832" s="28" t="n"/>
      <c r="C832" s="28" t="n"/>
      <c r="D832" s="28" t="n"/>
      <c r="E832" s="28" t="n"/>
      <c r="F832" s="28" t="n"/>
      <c r="G832" s="28" t="n"/>
      <c r="H832" s="28" t="n"/>
    </row>
    <row r="833">
      <c r="A833" s="90" t="n"/>
      <c r="B833" s="28" t="n"/>
      <c r="C833" s="28" t="n"/>
      <c r="D833" s="28" t="n"/>
      <c r="E833" s="28" t="n"/>
      <c r="F833" s="28" t="n"/>
      <c r="G833" s="28" t="n"/>
      <c r="H833" s="28" t="n"/>
    </row>
    <row r="834">
      <c r="A834" s="90" t="n"/>
      <c r="B834" s="28" t="n"/>
      <c r="C834" s="28" t="n"/>
      <c r="D834" s="28" t="n"/>
      <c r="E834" s="28" t="n"/>
      <c r="F834" s="28" t="n"/>
      <c r="G834" s="28" t="n"/>
      <c r="H834" s="28" t="n"/>
    </row>
    <row r="835">
      <c r="A835" s="90" t="n"/>
      <c r="B835" s="28" t="n"/>
      <c r="C835" s="28" t="n"/>
      <c r="D835" s="28" t="n"/>
      <c r="E835" s="28" t="n"/>
      <c r="F835" s="28" t="n"/>
      <c r="G835" s="28" t="n"/>
      <c r="H835" s="28" t="n"/>
    </row>
    <row r="836">
      <c r="A836" s="90" t="n"/>
      <c r="B836" s="28" t="n"/>
      <c r="C836" s="28" t="n"/>
      <c r="D836" s="28" t="n"/>
      <c r="E836" s="28" t="n"/>
      <c r="F836" s="28" t="n"/>
      <c r="G836" s="28" t="n"/>
      <c r="H836" s="28" t="n"/>
    </row>
    <row r="837">
      <c r="A837" s="90" t="n"/>
      <c r="B837" s="28" t="n"/>
      <c r="C837" s="28" t="n"/>
      <c r="D837" s="28" t="n"/>
      <c r="E837" s="28" t="n"/>
      <c r="F837" s="28" t="n"/>
      <c r="G837" s="28" t="n"/>
      <c r="H837" s="28" t="n"/>
    </row>
    <row r="838">
      <c r="A838" s="90" t="n"/>
      <c r="B838" s="28" t="n"/>
      <c r="C838" s="28" t="n"/>
      <c r="D838" s="28" t="n"/>
      <c r="E838" s="28" t="n"/>
      <c r="F838" s="28" t="n"/>
      <c r="G838" s="28" t="n"/>
      <c r="H838" s="28" t="n"/>
    </row>
    <row r="839">
      <c r="A839" s="90" t="n"/>
      <c r="B839" s="28" t="n"/>
      <c r="C839" s="28" t="n"/>
      <c r="D839" s="28" t="n"/>
      <c r="E839" s="28" t="n"/>
      <c r="F839" s="28" t="n"/>
      <c r="G839" s="28" t="n"/>
      <c r="H839" s="28" t="n"/>
    </row>
    <row r="840">
      <c r="A840" s="90" t="n"/>
      <c r="B840" s="28" t="n"/>
      <c r="C840" s="28" t="n"/>
      <c r="D840" s="28" t="n"/>
      <c r="E840" s="28" t="n"/>
      <c r="F840" s="28" t="n"/>
      <c r="G840" s="28" t="n"/>
      <c r="H840" s="28" t="n"/>
    </row>
    <row r="841">
      <c r="A841" s="90" t="n"/>
      <c r="B841" s="28" t="n"/>
      <c r="C841" s="28" t="n"/>
      <c r="D841" s="28" t="n"/>
      <c r="E841" s="28" t="n"/>
      <c r="F841" s="28" t="n"/>
      <c r="G841" s="28" t="n"/>
      <c r="H841" s="28" t="n"/>
    </row>
    <row r="842">
      <c r="A842" s="90" t="n"/>
      <c r="B842" s="28" t="n"/>
      <c r="C842" s="28" t="n"/>
      <c r="D842" s="28" t="n"/>
      <c r="E842" s="28" t="n"/>
      <c r="F842" s="28" t="n"/>
      <c r="G842" s="28" t="n"/>
      <c r="H842" s="28" t="n"/>
    </row>
    <row r="843">
      <c r="A843" s="90" t="n"/>
      <c r="B843" s="28" t="n"/>
      <c r="C843" s="28" t="n"/>
      <c r="D843" s="28" t="n"/>
      <c r="E843" s="28" t="n"/>
      <c r="F843" s="28" t="n"/>
      <c r="G843" s="28" t="n"/>
      <c r="H843" s="28" t="n"/>
    </row>
    <row r="844">
      <c r="A844" s="90" t="n"/>
      <c r="B844" s="28" t="n"/>
      <c r="C844" s="28" t="n"/>
      <c r="D844" s="28" t="n"/>
      <c r="E844" s="28" t="n"/>
      <c r="F844" s="28" t="n"/>
      <c r="G844" s="28" t="n"/>
      <c r="H844" s="28" t="n"/>
    </row>
    <row r="845">
      <c r="A845" s="90" t="n"/>
      <c r="B845" s="28" t="n"/>
      <c r="C845" s="28" t="n"/>
      <c r="D845" s="28" t="n"/>
      <c r="E845" s="28" t="n"/>
      <c r="F845" s="28" t="n"/>
      <c r="G845" s="28" t="n"/>
      <c r="H845" s="28" t="n"/>
    </row>
    <row r="846">
      <c r="A846" s="90" t="n"/>
      <c r="B846" s="28" t="n"/>
      <c r="C846" s="28" t="n"/>
      <c r="D846" s="28" t="n"/>
      <c r="E846" s="28" t="n"/>
      <c r="F846" s="28" t="n"/>
      <c r="G846" s="28" t="n"/>
      <c r="H846" s="28" t="n"/>
    </row>
    <row r="847">
      <c r="A847" s="90" t="n"/>
      <c r="B847" s="28" t="n"/>
      <c r="C847" s="28" t="n"/>
      <c r="D847" s="28" t="n"/>
      <c r="E847" s="28" t="n"/>
      <c r="F847" s="28" t="n"/>
      <c r="G847" s="28" t="n"/>
      <c r="H847" s="28" t="n"/>
    </row>
    <row r="848">
      <c r="A848" s="90" t="n"/>
      <c r="B848" s="28" t="n"/>
      <c r="C848" s="28" t="n"/>
      <c r="D848" s="28" t="n"/>
      <c r="E848" s="28" t="n"/>
      <c r="F848" s="28" t="n"/>
      <c r="G848" s="28" t="n"/>
      <c r="H848" s="28" t="n"/>
    </row>
    <row r="849">
      <c r="A849" s="90" t="n"/>
      <c r="B849" s="28" t="n"/>
      <c r="C849" s="28" t="n"/>
      <c r="D849" s="28" t="n"/>
      <c r="E849" s="28" t="n"/>
      <c r="F849" s="28" t="n"/>
      <c r="G849" s="28" t="n"/>
      <c r="H849" s="28" t="n"/>
    </row>
    <row r="850">
      <c r="A850" s="90" t="n"/>
      <c r="B850" s="28" t="n"/>
      <c r="C850" s="28" t="n"/>
      <c r="D850" s="28" t="n"/>
      <c r="E850" s="28" t="n"/>
      <c r="F850" s="28" t="n"/>
      <c r="G850" s="28" t="n"/>
      <c r="H850" s="28" t="n"/>
    </row>
    <row r="851">
      <c r="A851" s="90" t="n"/>
      <c r="B851" s="28" t="n"/>
      <c r="C851" s="28" t="n"/>
      <c r="D851" s="28" t="n"/>
      <c r="E851" s="28" t="n"/>
      <c r="F851" s="28" t="n"/>
      <c r="G851" s="28" t="n"/>
      <c r="H851" s="28" t="n"/>
    </row>
    <row r="852">
      <c r="A852" s="90" t="n"/>
      <c r="B852" s="28" t="n"/>
      <c r="C852" s="28" t="n"/>
      <c r="D852" s="28" t="n"/>
      <c r="E852" s="28" t="n"/>
      <c r="F852" s="28" t="n"/>
      <c r="G852" s="28" t="n"/>
      <c r="H852" s="28" t="n"/>
    </row>
    <row r="853">
      <c r="A853" s="90" t="n"/>
      <c r="B853" s="28" t="n"/>
      <c r="C853" s="28" t="n"/>
      <c r="D853" s="28" t="n"/>
      <c r="E853" s="28" t="n"/>
      <c r="F853" s="28" t="n"/>
      <c r="G853" s="28" t="n"/>
      <c r="H853" s="28" t="n"/>
    </row>
    <row r="854">
      <c r="A854" s="90" t="n"/>
      <c r="B854" s="28" t="n"/>
      <c r="C854" s="28" t="n"/>
      <c r="D854" s="28" t="n"/>
      <c r="E854" s="28" t="n"/>
      <c r="F854" s="28" t="n"/>
      <c r="G854" s="28" t="n"/>
      <c r="H854" s="28" t="n"/>
    </row>
    <row r="855">
      <c r="A855" s="90" t="n"/>
      <c r="B855" s="28" t="n"/>
      <c r="C855" s="28" t="n"/>
      <c r="D855" s="28" t="n"/>
      <c r="E855" s="28" t="n"/>
      <c r="F855" s="28" t="n"/>
      <c r="G855" s="28" t="n"/>
      <c r="H855" s="28" t="n"/>
    </row>
    <row r="856">
      <c r="A856" s="90" t="n"/>
      <c r="B856" s="28" t="n"/>
      <c r="C856" s="28" t="n"/>
      <c r="D856" s="28" t="n"/>
      <c r="E856" s="28" t="n"/>
      <c r="F856" s="28" t="n"/>
      <c r="G856" s="28" t="n"/>
      <c r="H856" s="28" t="n"/>
    </row>
    <row r="857">
      <c r="A857" s="90" t="n"/>
      <c r="B857" s="28" t="n"/>
      <c r="C857" s="28" t="n"/>
      <c r="D857" s="28" t="n"/>
      <c r="E857" s="28" t="n"/>
      <c r="F857" s="28" t="n"/>
      <c r="G857" s="28" t="n"/>
      <c r="H857" s="28" t="n"/>
    </row>
    <row r="858">
      <c r="A858" s="90" t="n"/>
      <c r="B858" s="28" t="n"/>
      <c r="C858" s="28" t="n"/>
      <c r="D858" s="28" t="n"/>
      <c r="E858" s="28" t="n"/>
      <c r="F858" s="28" t="n"/>
      <c r="G858" s="28" t="n"/>
      <c r="H858" s="28" t="n"/>
    </row>
    <row r="859">
      <c r="A859" s="90" t="n"/>
      <c r="B859" s="28" t="n"/>
      <c r="C859" s="28" t="n"/>
      <c r="D859" s="28" t="n"/>
      <c r="E859" s="28" t="n"/>
      <c r="F859" s="28" t="n"/>
      <c r="G859" s="28" t="n"/>
      <c r="H859" s="28" t="n"/>
    </row>
    <row r="860">
      <c r="A860" s="90" t="n"/>
      <c r="B860" s="28" t="n"/>
      <c r="C860" s="28" t="n"/>
      <c r="D860" s="28" t="n"/>
      <c r="E860" s="28" t="n"/>
      <c r="F860" s="28" t="n"/>
      <c r="G860" s="28" t="n"/>
      <c r="H860" s="28" t="n"/>
    </row>
    <row r="861">
      <c r="A861" s="90" t="n"/>
      <c r="B861" s="28" t="n"/>
      <c r="C861" s="28" t="n"/>
      <c r="D861" s="28" t="n"/>
      <c r="E861" s="28" t="n"/>
      <c r="F861" s="28" t="n"/>
      <c r="G861" s="28" t="n"/>
      <c r="H861" s="28" t="n"/>
    </row>
    <row r="862">
      <c r="A862" s="90" t="n"/>
      <c r="B862" s="28" t="n"/>
      <c r="C862" s="28" t="n"/>
      <c r="D862" s="28" t="n"/>
      <c r="E862" s="28" t="n"/>
      <c r="F862" s="28" t="n"/>
      <c r="G862" s="28" t="n"/>
      <c r="H862" s="28" t="n"/>
    </row>
    <row r="863">
      <c r="A863" s="90" t="n"/>
      <c r="B863" s="28" t="n"/>
      <c r="C863" s="28" t="n"/>
      <c r="D863" s="28" t="n"/>
      <c r="E863" s="28" t="n"/>
      <c r="F863" s="28" t="n"/>
      <c r="G863" s="28" t="n"/>
      <c r="H863" s="28" t="n"/>
    </row>
    <row r="864">
      <c r="A864" s="90" t="n"/>
      <c r="B864" s="28" t="n"/>
      <c r="C864" s="28" t="n"/>
      <c r="D864" s="28" t="n"/>
      <c r="E864" s="28" t="n"/>
      <c r="F864" s="28" t="n"/>
      <c r="G864" s="28" t="n"/>
      <c r="H864" s="28" t="n"/>
    </row>
    <row r="865">
      <c r="A865" s="90" t="n"/>
      <c r="B865" s="28" t="n"/>
      <c r="C865" s="28" t="n"/>
      <c r="D865" s="28" t="n"/>
      <c r="E865" s="28" t="n"/>
      <c r="F865" s="28" t="n"/>
      <c r="G865" s="28" t="n"/>
      <c r="H865" s="28" t="n"/>
    </row>
    <row r="866">
      <c r="A866" s="90" t="n"/>
      <c r="B866" s="28" t="n"/>
      <c r="C866" s="28" t="n"/>
      <c r="D866" s="28" t="n"/>
      <c r="E866" s="28" t="n"/>
      <c r="F866" s="28" t="n"/>
      <c r="G866" s="28" t="n"/>
      <c r="H866" s="28" t="n"/>
    </row>
    <row r="867">
      <c r="A867" s="90" t="n"/>
      <c r="B867" s="28" t="n"/>
      <c r="C867" s="28" t="n"/>
      <c r="D867" s="28" t="n"/>
      <c r="E867" s="28" t="n"/>
      <c r="F867" s="28" t="n"/>
      <c r="G867" s="28" t="n"/>
      <c r="H867" s="28" t="n"/>
    </row>
    <row r="868">
      <c r="A868" s="90" t="n"/>
      <c r="B868" s="28" t="n"/>
      <c r="C868" s="28" t="n"/>
      <c r="D868" s="28" t="n"/>
      <c r="E868" s="28" t="n"/>
      <c r="F868" s="28" t="n"/>
      <c r="G868" s="28" t="n"/>
      <c r="H868" s="28" t="n"/>
    </row>
    <row r="869">
      <c r="A869" s="90" t="n"/>
      <c r="B869" s="28" t="n"/>
      <c r="C869" s="28" t="n"/>
      <c r="D869" s="28" t="n"/>
      <c r="E869" s="28" t="n"/>
      <c r="F869" s="28" t="n"/>
      <c r="G869" s="28" t="n"/>
      <c r="H869" s="28" t="n"/>
    </row>
    <row r="870">
      <c r="A870" s="90" t="n"/>
      <c r="B870" s="28" t="n"/>
      <c r="C870" s="28" t="n"/>
      <c r="D870" s="28" t="n"/>
      <c r="E870" s="28" t="n"/>
      <c r="F870" s="28" t="n"/>
      <c r="G870" s="28" t="n"/>
      <c r="H870" s="28" t="n"/>
    </row>
    <row r="871">
      <c r="A871" s="90" t="n"/>
      <c r="B871" s="28" t="n"/>
      <c r="C871" s="28" t="n"/>
      <c r="D871" s="28" t="n"/>
      <c r="E871" s="28" t="n"/>
      <c r="F871" s="28" t="n"/>
      <c r="G871" s="28" t="n"/>
      <c r="H871" s="28" t="n"/>
    </row>
    <row r="872">
      <c r="A872" s="90" t="n"/>
      <c r="B872" s="28" t="n"/>
      <c r="C872" s="28" t="n"/>
      <c r="D872" s="28" t="n"/>
      <c r="E872" s="28" t="n"/>
      <c r="F872" s="28" t="n"/>
      <c r="G872" s="28" t="n"/>
      <c r="H872" s="28" t="n"/>
    </row>
    <row r="873">
      <c r="A873" s="90" t="n"/>
      <c r="B873" s="28" t="n"/>
      <c r="C873" s="28" t="n"/>
      <c r="D873" s="28" t="n"/>
      <c r="E873" s="28" t="n"/>
      <c r="F873" s="28" t="n"/>
      <c r="G873" s="28" t="n"/>
      <c r="H873" s="28" t="n"/>
    </row>
    <row r="874">
      <c r="A874" s="90" t="n"/>
      <c r="B874" s="28" t="n"/>
      <c r="C874" s="28" t="n"/>
      <c r="D874" s="28" t="n"/>
      <c r="E874" s="28" t="n"/>
      <c r="F874" s="28" t="n"/>
      <c r="G874" s="28" t="n"/>
      <c r="H874" s="28" t="n"/>
    </row>
    <row r="875">
      <c r="A875" s="90" t="n"/>
      <c r="B875" s="28" t="n"/>
      <c r="C875" s="28" t="n"/>
      <c r="D875" s="28" t="n"/>
      <c r="E875" s="28" t="n"/>
      <c r="F875" s="28" t="n"/>
      <c r="G875" s="28" t="n"/>
      <c r="H875" s="28" t="n"/>
    </row>
    <row r="876">
      <c r="A876" s="90" t="n"/>
      <c r="B876" s="28" t="n"/>
      <c r="C876" s="28" t="n"/>
      <c r="D876" s="28" t="n"/>
      <c r="E876" s="28" t="n"/>
      <c r="F876" s="28" t="n"/>
      <c r="G876" s="28" t="n"/>
      <c r="H876" s="28" t="n"/>
    </row>
    <row r="877">
      <c r="A877" s="90" t="n"/>
      <c r="B877" s="28" t="n"/>
      <c r="C877" s="28" t="n"/>
      <c r="D877" s="28" t="n"/>
      <c r="E877" s="28" t="n"/>
      <c r="F877" s="28" t="n"/>
      <c r="G877" s="28" t="n"/>
      <c r="H877" s="28" t="n"/>
    </row>
    <row r="878">
      <c r="A878" s="90" t="n"/>
      <c r="B878" s="28" t="n"/>
      <c r="C878" s="28" t="n"/>
      <c r="D878" s="28" t="n"/>
      <c r="E878" s="28" t="n"/>
      <c r="F878" s="28" t="n"/>
      <c r="G878" s="28" t="n"/>
      <c r="H878" s="28" t="n"/>
    </row>
    <row r="879">
      <c r="A879" s="90" t="n"/>
      <c r="B879" s="28" t="n"/>
      <c r="C879" s="28" t="n"/>
      <c r="D879" s="28" t="n"/>
      <c r="E879" s="28" t="n"/>
      <c r="F879" s="28" t="n"/>
      <c r="G879" s="28" t="n"/>
      <c r="H879" s="28" t="n"/>
    </row>
    <row r="880">
      <c r="A880" s="90" t="n"/>
      <c r="B880" s="28" t="n"/>
      <c r="C880" s="28" t="n"/>
      <c r="D880" s="28" t="n"/>
      <c r="E880" s="28" t="n"/>
      <c r="F880" s="28" t="n"/>
      <c r="G880" s="28" t="n"/>
      <c r="H880" s="28" t="n"/>
    </row>
    <row r="881">
      <c r="A881" s="90" t="n"/>
      <c r="B881" s="28" t="n"/>
      <c r="C881" s="28" t="n"/>
      <c r="D881" s="28" t="n"/>
      <c r="E881" s="28" t="n"/>
      <c r="F881" s="28" t="n"/>
      <c r="G881" s="28" t="n"/>
      <c r="H881" s="28" t="n"/>
    </row>
    <row r="882">
      <c r="A882" s="90" t="n"/>
      <c r="B882" s="28" t="n"/>
      <c r="C882" s="28" t="n"/>
      <c r="D882" s="28" t="n"/>
      <c r="E882" s="28" t="n"/>
      <c r="F882" s="28" t="n"/>
      <c r="G882" s="28" t="n"/>
      <c r="H882" s="28" t="n"/>
    </row>
    <row r="883">
      <c r="A883" s="90" t="n"/>
      <c r="B883" s="28" t="n"/>
      <c r="C883" s="28" t="n"/>
      <c r="D883" s="28" t="n"/>
      <c r="E883" s="28" t="n"/>
      <c r="F883" s="28" t="n"/>
      <c r="G883" s="28" t="n"/>
      <c r="H883" s="28" t="n"/>
    </row>
    <row r="884">
      <c r="A884" s="90" t="n"/>
      <c r="B884" s="28" t="n"/>
      <c r="C884" s="28" t="n"/>
      <c r="D884" s="28" t="n"/>
      <c r="E884" s="28" t="n"/>
      <c r="F884" s="28" t="n"/>
      <c r="G884" s="28" t="n"/>
      <c r="H884" s="28" t="n"/>
    </row>
    <row r="885">
      <c r="A885" s="90" t="n"/>
      <c r="B885" s="28" t="n"/>
      <c r="C885" s="28" t="n"/>
      <c r="D885" s="28" t="n"/>
      <c r="E885" s="28" t="n"/>
      <c r="F885" s="28" t="n"/>
      <c r="G885" s="28" t="n"/>
      <c r="H885" s="28" t="n"/>
    </row>
    <row r="886">
      <c r="A886" s="90" t="n"/>
      <c r="B886" s="28" t="n"/>
      <c r="C886" s="28" t="n"/>
      <c r="D886" s="28" t="n"/>
      <c r="E886" s="28" t="n"/>
      <c r="F886" s="28" t="n"/>
      <c r="G886" s="28" t="n"/>
      <c r="H886" s="28" t="n"/>
    </row>
    <row r="887">
      <c r="A887" s="90" t="n"/>
      <c r="B887" s="28" t="n"/>
      <c r="C887" s="28" t="n"/>
      <c r="D887" s="28" t="n"/>
      <c r="E887" s="28" t="n"/>
      <c r="F887" s="28" t="n"/>
      <c r="G887" s="28" t="n"/>
      <c r="H887" s="28" t="n"/>
    </row>
    <row r="888">
      <c r="A888" s="90" t="n"/>
      <c r="B888" s="28" t="n"/>
      <c r="C888" s="28" t="n"/>
      <c r="D888" s="28" t="n"/>
      <c r="E888" s="28" t="n"/>
      <c r="F888" s="28" t="n"/>
      <c r="G888" s="28" t="n"/>
      <c r="H888" s="28" t="n"/>
    </row>
    <row r="889">
      <c r="A889" s="90" t="n"/>
      <c r="B889" s="28" t="n"/>
      <c r="C889" s="28" t="n"/>
      <c r="D889" s="28" t="n"/>
      <c r="E889" s="28" t="n"/>
      <c r="F889" s="28" t="n"/>
      <c r="G889" s="28" t="n"/>
      <c r="H889" s="28" t="n"/>
    </row>
    <row r="890">
      <c r="A890" s="90" t="n"/>
      <c r="B890" s="28" t="n"/>
      <c r="C890" s="28" t="n"/>
      <c r="D890" s="28" t="n"/>
      <c r="E890" s="28" t="n"/>
      <c r="F890" s="28" t="n"/>
      <c r="G890" s="28" t="n"/>
      <c r="H890" s="28" t="n"/>
    </row>
    <row r="891">
      <c r="A891" s="90" t="n"/>
      <c r="B891" s="28" t="n"/>
      <c r="C891" s="28" t="n"/>
      <c r="D891" s="28" t="n"/>
      <c r="E891" s="28" t="n"/>
      <c r="F891" s="28" t="n"/>
      <c r="G891" s="28" t="n"/>
      <c r="H891" s="28" t="n"/>
    </row>
    <row r="892">
      <c r="A892" s="90" t="n"/>
      <c r="B892" s="28" t="n"/>
      <c r="C892" s="28" t="n"/>
      <c r="D892" s="28" t="n"/>
      <c r="E892" s="28" t="n"/>
      <c r="F892" s="28" t="n"/>
      <c r="G892" s="28" t="n"/>
      <c r="H892" s="28" t="n"/>
    </row>
    <row r="893">
      <c r="A893" s="90" t="n"/>
      <c r="B893" s="28" t="n"/>
      <c r="C893" s="28" t="n"/>
      <c r="D893" s="28" t="n"/>
      <c r="E893" s="28" t="n"/>
      <c r="F893" s="28" t="n"/>
      <c r="G893" s="28" t="n"/>
      <c r="H893" s="28" t="n"/>
    </row>
    <row r="894">
      <c r="A894" s="90" t="n"/>
      <c r="B894" s="28" t="n"/>
      <c r="C894" s="28" t="n"/>
      <c r="D894" s="28" t="n"/>
      <c r="E894" s="28" t="n"/>
      <c r="F894" s="28" t="n"/>
      <c r="G894" s="28" t="n"/>
      <c r="H894" s="28" t="n"/>
    </row>
    <row r="895">
      <c r="A895" s="90" t="n"/>
      <c r="B895" s="28" t="n"/>
      <c r="C895" s="28" t="n"/>
      <c r="D895" s="28" t="n"/>
      <c r="E895" s="28" t="n"/>
      <c r="F895" s="28" t="n"/>
      <c r="G895" s="28" t="n"/>
      <c r="H895" s="28" t="n"/>
    </row>
    <row r="896">
      <c r="A896" s="90" t="n"/>
      <c r="B896" s="28" t="n"/>
      <c r="C896" s="28" t="n"/>
      <c r="D896" s="28" t="n"/>
      <c r="E896" s="28" t="n"/>
      <c r="F896" s="28" t="n"/>
      <c r="G896" s="28" t="n"/>
      <c r="H896" s="28" t="n"/>
    </row>
    <row r="897">
      <c r="A897" s="90" t="n"/>
      <c r="B897" s="28" t="n"/>
      <c r="C897" s="28" t="n"/>
      <c r="D897" s="28" t="n"/>
      <c r="E897" s="28" t="n"/>
      <c r="F897" s="28" t="n"/>
      <c r="G897" s="28" t="n"/>
      <c r="H897" s="28" t="n"/>
    </row>
    <row r="898">
      <c r="A898" s="90" t="n"/>
      <c r="B898" s="28" t="n"/>
      <c r="C898" s="28" t="n"/>
      <c r="D898" s="28" t="n"/>
      <c r="E898" s="28" t="n"/>
      <c r="F898" s="28" t="n"/>
      <c r="G898" s="28" t="n"/>
      <c r="H898" s="28" t="n"/>
    </row>
    <row r="899">
      <c r="A899" s="90" t="n"/>
      <c r="B899" s="28" t="n"/>
      <c r="C899" s="28" t="n"/>
      <c r="D899" s="28" t="n"/>
      <c r="E899" s="28" t="n"/>
      <c r="F899" s="28" t="n"/>
      <c r="G899" s="28" t="n"/>
      <c r="H899" s="28" t="n"/>
    </row>
    <row r="900">
      <c r="A900" s="90" t="n"/>
      <c r="B900" s="28" t="n"/>
      <c r="C900" s="28" t="n"/>
      <c r="D900" s="28" t="n"/>
      <c r="E900" s="28" t="n"/>
      <c r="F900" s="28" t="n"/>
      <c r="G900" s="28" t="n"/>
      <c r="H900" s="28" t="n"/>
    </row>
    <row r="901">
      <c r="A901" s="90" t="n"/>
      <c r="B901" s="28" t="n"/>
      <c r="C901" s="28" t="n"/>
      <c r="D901" s="28" t="n"/>
      <c r="E901" s="28" t="n"/>
      <c r="F901" s="28" t="n"/>
      <c r="G901" s="28" t="n"/>
      <c r="H901" s="28" t="n"/>
    </row>
    <row r="902">
      <c r="A902" s="90" t="n"/>
      <c r="B902" s="28" t="n"/>
      <c r="C902" s="28" t="n"/>
      <c r="D902" s="28" t="n"/>
      <c r="E902" s="28" t="n"/>
      <c r="F902" s="28" t="n"/>
      <c r="G902" s="28" t="n"/>
      <c r="H902" s="28" t="n"/>
    </row>
    <row r="903">
      <c r="A903" s="90" t="n"/>
      <c r="B903" s="28" t="n"/>
      <c r="C903" s="28" t="n"/>
      <c r="D903" s="28" t="n"/>
      <c r="E903" s="28" t="n"/>
      <c r="F903" s="28" t="n"/>
      <c r="G903" s="28" t="n"/>
      <c r="H903" s="28" t="n"/>
    </row>
    <row r="904">
      <c r="A904" s="90" t="n"/>
      <c r="B904" s="28" t="n"/>
      <c r="C904" s="28" t="n"/>
      <c r="D904" s="28" t="n"/>
      <c r="E904" s="28" t="n"/>
      <c r="F904" s="28" t="n"/>
      <c r="G904" s="28" t="n"/>
      <c r="H904" s="28" t="n"/>
    </row>
    <row r="905">
      <c r="A905" s="90" t="n"/>
      <c r="B905" s="28" t="n"/>
      <c r="C905" s="28" t="n"/>
      <c r="D905" s="28" t="n"/>
      <c r="E905" s="28" t="n"/>
      <c r="F905" s="28" t="n"/>
      <c r="G905" s="28" t="n"/>
      <c r="H905" s="28" t="n"/>
    </row>
    <row r="906">
      <c r="A906" s="90" t="n"/>
      <c r="B906" s="28" t="n"/>
      <c r="C906" s="28" t="n"/>
      <c r="D906" s="28" t="n"/>
      <c r="E906" s="28" t="n"/>
      <c r="F906" s="28" t="n"/>
      <c r="G906" s="28" t="n"/>
      <c r="H906" s="28" t="n"/>
    </row>
    <row r="907">
      <c r="A907" s="90" t="n"/>
      <c r="B907" s="28" t="n"/>
      <c r="C907" s="28" t="n"/>
      <c r="D907" s="28" t="n"/>
      <c r="E907" s="28" t="n"/>
      <c r="F907" s="28" t="n"/>
      <c r="G907" s="28" t="n"/>
      <c r="H907" s="28" t="n"/>
    </row>
    <row r="908">
      <c r="A908" s="90" t="n"/>
      <c r="B908" s="28" t="n"/>
      <c r="C908" s="28" t="n"/>
      <c r="D908" s="28" t="n"/>
      <c r="E908" s="28" t="n"/>
      <c r="F908" s="28" t="n"/>
      <c r="G908" s="28" t="n"/>
      <c r="H908" s="28" t="n"/>
    </row>
    <row r="909">
      <c r="A909" s="90" t="n"/>
      <c r="B909" s="28" t="n"/>
      <c r="C909" s="28" t="n"/>
      <c r="D909" s="28" t="n"/>
      <c r="E909" s="28" t="n"/>
      <c r="F909" s="28" t="n"/>
      <c r="G909" s="28" t="n"/>
      <c r="H909" s="28" t="n"/>
    </row>
    <row r="910">
      <c r="A910" s="90" t="n"/>
      <c r="B910" s="28" t="n"/>
      <c r="C910" s="28" t="n"/>
      <c r="D910" s="28" t="n"/>
      <c r="E910" s="28" t="n"/>
      <c r="F910" s="28" t="n"/>
      <c r="G910" s="28" t="n"/>
      <c r="H910" s="28" t="n"/>
    </row>
    <row r="911">
      <c r="A911" s="90" t="n"/>
      <c r="B911" s="28" t="n"/>
      <c r="C911" s="28" t="n"/>
      <c r="D911" s="28" t="n"/>
      <c r="E911" s="28" t="n"/>
      <c r="F911" s="28" t="n"/>
      <c r="G911" s="28" t="n"/>
      <c r="H911" s="28" t="n"/>
    </row>
    <row r="912">
      <c r="A912" s="90" t="n"/>
      <c r="B912" s="28" t="n"/>
      <c r="C912" s="28" t="n"/>
      <c r="D912" s="28" t="n"/>
      <c r="E912" s="28" t="n"/>
      <c r="F912" s="28" t="n"/>
      <c r="G912" s="28" t="n"/>
      <c r="H912" s="28" t="n"/>
    </row>
    <row r="913">
      <c r="A913" s="90" t="n"/>
      <c r="B913" s="28" t="n"/>
      <c r="C913" s="28" t="n"/>
      <c r="D913" s="28" t="n"/>
      <c r="E913" s="28" t="n"/>
      <c r="F913" s="28" t="n"/>
      <c r="G913" s="28" t="n"/>
      <c r="H913" s="28" t="n"/>
    </row>
    <row r="914">
      <c r="A914" s="90" t="n"/>
      <c r="B914" s="28" t="n"/>
      <c r="C914" s="28" t="n"/>
      <c r="D914" s="28" t="n"/>
      <c r="E914" s="28" t="n"/>
      <c r="F914" s="28" t="n"/>
      <c r="G914" s="28" t="n"/>
      <c r="H914" s="28" t="n"/>
    </row>
    <row r="915">
      <c r="A915" s="90" t="n"/>
      <c r="B915" s="28" t="n"/>
      <c r="C915" s="28" t="n"/>
      <c r="D915" s="28" t="n"/>
      <c r="E915" s="28" t="n"/>
      <c r="F915" s="28" t="n"/>
      <c r="G915" s="28" t="n"/>
      <c r="H915" s="28" t="n"/>
    </row>
    <row r="916">
      <c r="A916" s="90" t="n"/>
      <c r="B916" s="28" t="n"/>
      <c r="C916" s="28" t="n"/>
      <c r="D916" s="28" t="n"/>
      <c r="E916" s="28" t="n"/>
      <c r="F916" s="28" t="n"/>
      <c r="G916" s="28" t="n"/>
      <c r="H916" s="28" t="n"/>
    </row>
    <row r="917">
      <c r="A917" s="90" t="n"/>
      <c r="B917" s="28" t="n"/>
      <c r="C917" s="28" t="n"/>
      <c r="D917" s="28" t="n"/>
      <c r="E917" s="28" t="n"/>
      <c r="F917" s="28" t="n"/>
      <c r="G917" s="28" t="n"/>
      <c r="H917" s="28" t="n"/>
    </row>
    <row r="918">
      <c r="A918" s="90" t="n"/>
      <c r="B918" s="28" t="n"/>
      <c r="C918" s="28" t="n"/>
      <c r="D918" s="28" t="n"/>
      <c r="E918" s="28" t="n"/>
      <c r="F918" s="28" t="n"/>
      <c r="G918" s="28" t="n"/>
      <c r="H918" s="28" t="n"/>
    </row>
    <row r="919">
      <c r="A919" s="90" t="n"/>
      <c r="B919" s="28" t="n"/>
      <c r="C919" s="28" t="n"/>
      <c r="D919" s="28" t="n"/>
      <c r="E919" s="28" t="n"/>
      <c r="F919" s="28" t="n"/>
      <c r="G919" s="28" t="n"/>
      <c r="H919" s="28" t="n"/>
    </row>
    <row r="920">
      <c r="A920" s="90" t="n"/>
      <c r="B920" s="28" t="n"/>
      <c r="C920" s="28" t="n"/>
      <c r="D920" s="28" t="n"/>
      <c r="E920" s="28" t="n"/>
      <c r="F920" s="28" t="n"/>
      <c r="G920" s="28" t="n"/>
      <c r="H920" s="28" t="n"/>
    </row>
    <row r="921">
      <c r="A921" s="90" t="n"/>
      <c r="B921" s="28" t="n"/>
      <c r="C921" s="28" t="n"/>
      <c r="D921" s="28" t="n"/>
      <c r="E921" s="28" t="n"/>
      <c r="F921" s="28" t="n"/>
      <c r="G921" s="28" t="n"/>
      <c r="H921" s="28" t="n"/>
    </row>
    <row r="922">
      <c r="A922" s="90" t="n"/>
      <c r="B922" s="28" t="n"/>
      <c r="C922" s="28" t="n"/>
      <c r="D922" s="28" t="n"/>
      <c r="E922" s="28" t="n"/>
      <c r="F922" s="28" t="n"/>
      <c r="G922" s="28" t="n"/>
      <c r="H922" s="28" t="n"/>
    </row>
    <row r="923">
      <c r="A923" s="90" t="n"/>
      <c r="B923" s="28" t="n"/>
      <c r="C923" s="28" t="n"/>
      <c r="D923" s="28" t="n"/>
      <c r="E923" s="28" t="n"/>
      <c r="F923" s="28" t="n"/>
      <c r="G923" s="28" t="n"/>
      <c r="H923" s="28" t="n"/>
    </row>
    <row r="924">
      <c r="A924" s="90" t="n"/>
      <c r="B924" s="28" t="n"/>
      <c r="C924" s="28" t="n"/>
      <c r="D924" s="28" t="n"/>
      <c r="E924" s="28" t="n"/>
      <c r="F924" s="28" t="n"/>
      <c r="G924" s="28" t="n"/>
      <c r="H924" s="28" t="n"/>
    </row>
    <row r="925">
      <c r="A925" s="90" t="n"/>
      <c r="B925" s="28" t="n"/>
      <c r="C925" s="28" t="n"/>
      <c r="D925" s="28" t="n"/>
      <c r="E925" s="28" t="n"/>
      <c r="F925" s="28" t="n"/>
      <c r="G925" s="28" t="n"/>
      <c r="H925" s="28" t="n"/>
    </row>
    <row r="926">
      <c r="A926" s="90" t="n"/>
      <c r="B926" s="28" t="n"/>
      <c r="C926" s="28" t="n"/>
      <c r="D926" s="28" t="n"/>
      <c r="E926" s="28" t="n"/>
      <c r="F926" s="28" t="n"/>
      <c r="G926" s="28" t="n"/>
      <c r="H926" s="28" t="n"/>
    </row>
    <row r="927">
      <c r="A927" s="90" t="n"/>
      <c r="B927" s="28" t="n"/>
      <c r="C927" s="28" t="n"/>
      <c r="D927" s="28" t="n"/>
      <c r="E927" s="28" t="n"/>
      <c r="F927" s="28" t="n"/>
      <c r="G927" s="28" t="n"/>
      <c r="H927" s="28" t="n"/>
    </row>
    <row r="928">
      <c r="A928" s="90" t="n"/>
      <c r="B928" s="28" t="n"/>
      <c r="C928" s="28" t="n"/>
      <c r="D928" s="28" t="n"/>
      <c r="E928" s="28" t="n"/>
      <c r="F928" s="28" t="n"/>
      <c r="G928" s="28" t="n"/>
      <c r="H928" s="28" t="n"/>
    </row>
    <row r="929">
      <c r="A929" s="90" t="n"/>
      <c r="B929" s="28" t="n"/>
      <c r="C929" s="28" t="n"/>
      <c r="D929" s="28" t="n"/>
      <c r="E929" s="28" t="n"/>
      <c r="F929" s="28" t="n"/>
      <c r="G929" s="28" t="n"/>
      <c r="H929" s="28" t="n"/>
    </row>
    <row r="930">
      <c r="A930" s="90" t="n"/>
      <c r="B930" s="28" t="n"/>
      <c r="C930" s="28" t="n"/>
      <c r="D930" s="28" t="n"/>
      <c r="E930" s="28" t="n"/>
      <c r="F930" s="28" t="n"/>
      <c r="G930" s="28" t="n"/>
      <c r="H930" s="28" t="n"/>
    </row>
    <row r="931">
      <c r="A931" s="90" t="n"/>
      <c r="B931" s="28" t="n"/>
      <c r="C931" s="28" t="n"/>
      <c r="D931" s="28" t="n"/>
      <c r="E931" s="28" t="n"/>
      <c r="F931" s="28" t="n"/>
      <c r="G931" s="28" t="n"/>
      <c r="H931" s="28" t="n"/>
    </row>
    <row r="932">
      <c r="A932" s="90" t="n"/>
      <c r="B932" s="28" t="n"/>
      <c r="C932" s="28" t="n"/>
      <c r="D932" s="28" t="n"/>
      <c r="E932" s="28" t="n"/>
      <c r="F932" s="28" t="n"/>
      <c r="G932" s="28" t="n"/>
      <c r="H932" s="28" t="n"/>
    </row>
    <row r="933">
      <c r="A933" s="90" t="n"/>
      <c r="B933" s="28" t="n"/>
      <c r="C933" s="28" t="n"/>
      <c r="D933" s="28" t="n"/>
      <c r="E933" s="28" t="n"/>
      <c r="F933" s="28" t="n"/>
      <c r="G933" s="28" t="n"/>
      <c r="H933" s="28" t="n"/>
    </row>
    <row r="934">
      <c r="A934" s="90" t="n"/>
      <c r="B934" s="28" t="n"/>
      <c r="C934" s="28" t="n"/>
      <c r="D934" s="28" t="n"/>
      <c r="E934" s="28" t="n"/>
      <c r="F934" s="28" t="n"/>
      <c r="G934" s="28" t="n"/>
      <c r="H934" s="28" t="n"/>
    </row>
    <row r="935">
      <c r="A935" s="90" t="n"/>
      <c r="B935" s="28" t="n"/>
      <c r="C935" s="28" t="n"/>
      <c r="D935" s="28" t="n"/>
      <c r="E935" s="28" t="n"/>
      <c r="F935" s="28" t="n"/>
      <c r="G935" s="28" t="n"/>
      <c r="H935" s="28" t="n"/>
    </row>
    <row r="936">
      <c r="A936" s="90" t="n"/>
      <c r="B936" s="28" t="n"/>
      <c r="C936" s="28" t="n"/>
      <c r="D936" s="28" t="n"/>
      <c r="E936" s="28" t="n"/>
      <c r="F936" s="28" t="n"/>
      <c r="G936" s="28" t="n"/>
      <c r="H936" s="28" t="n"/>
    </row>
    <row r="937">
      <c r="A937" s="90" t="n"/>
      <c r="B937" s="28" t="n"/>
      <c r="C937" s="28" t="n"/>
      <c r="D937" s="28" t="n"/>
      <c r="E937" s="28" t="n"/>
      <c r="F937" s="28" t="n"/>
      <c r="G937" s="28" t="n"/>
      <c r="H937" s="28" t="n"/>
    </row>
    <row r="938">
      <c r="A938" s="90" t="n"/>
      <c r="B938" s="28" t="n"/>
      <c r="C938" s="28" t="n"/>
      <c r="D938" s="28" t="n"/>
      <c r="E938" s="28" t="n"/>
      <c r="F938" s="28" t="n"/>
      <c r="G938" s="28" t="n"/>
      <c r="H938" s="28" t="n"/>
    </row>
    <row r="939">
      <c r="A939" s="90" t="n"/>
      <c r="B939" s="28" t="n"/>
      <c r="C939" s="28" t="n"/>
      <c r="D939" s="28" t="n"/>
      <c r="E939" s="28" t="n"/>
      <c r="F939" s="28" t="n"/>
      <c r="G939" s="28" t="n"/>
      <c r="H939" s="28" t="n"/>
    </row>
    <row r="940">
      <c r="A940" s="90" t="n"/>
      <c r="B940" s="28" t="n"/>
      <c r="C940" s="28" t="n"/>
      <c r="D940" s="28" t="n"/>
      <c r="E940" s="28" t="n"/>
      <c r="F940" s="28" t="n"/>
      <c r="G940" s="28" t="n"/>
      <c r="H940" s="28" t="n"/>
    </row>
    <row r="941">
      <c r="A941" s="90" t="n"/>
      <c r="B941" s="28" t="n"/>
      <c r="C941" s="28" t="n"/>
      <c r="D941" s="28" t="n"/>
      <c r="E941" s="28" t="n"/>
      <c r="F941" s="28" t="n"/>
      <c r="G941" s="28" t="n"/>
      <c r="H941" s="28" t="n"/>
    </row>
    <row r="942">
      <c r="A942" s="90" t="n"/>
      <c r="B942" s="28" t="n"/>
      <c r="C942" s="28" t="n"/>
      <c r="D942" s="28" t="n"/>
      <c r="E942" s="28" t="n"/>
      <c r="F942" s="28" t="n"/>
      <c r="G942" s="28" t="n"/>
      <c r="H942" s="28" t="n"/>
    </row>
    <row r="943">
      <c r="A943" s="90" t="n"/>
      <c r="B943" s="28" t="n"/>
      <c r="C943" s="28" t="n"/>
      <c r="D943" s="28" t="n"/>
      <c r="E943" s="28" t="n"/>
      <c r="F943" s="28" t="n"/>
      <c r="G943" s="28" t="n"/>
      <c r="H943" s="28" t="n"/>
    </row>
    <row r="944">
      <c r="A944" s="90" t="n"/>
      <c r="B944" s="28" t="n"/>
      <c r="C944" s="28" t="n"/>
      <c r="D944" s="28" t="n"/>
      <c r="E944" s="28" t="n"/>
      <c r="F944" s="28" t="n"/>
      <c r="G944" s="28" t="n"/>
      <c r="H944" s="28" t="n"/>
    </row>
    <row r="945">
      <c r="A945" s="90" t="n"/>
      <c r="B945" s="28" t="n"/>
      <c r="C945" s="28" t="n"/>
      <c r="D945" s="28" t="n"/>
      <c r="E945" s="28" t="n"/>
      <c r="F945" s="28" t="n"/>
      <c r="G945" s="28" t="n"/>
      <c r="H945" s="28" t="n"/>
    </row>
    <row r="946">
      <c r="A946" s="90" t="n"/>
      <c r="B946" s="28" t="n"/>
      <c r="C946" s="28" t="n"/>
      <c r="D946" s="28" t="n"/>
      <c r="E946" s="28" t="n"/>
      <c r="F946" s="28" t="n"/>
      <c r="G946" s="28" t="n"/>
      <c r="H946" s="28" t="n"/>
    </row>
    <row r="947">
      <c r="A947" s="90" t="n"/>
      <c r="B947" s="28" t="n"/>
      <c r="C947" s="28" t="n"/>
      <c r="D947" s="28" t="n"/>
      <c r="E947" s="28" t="n"/>
      <c r="F947" s="28" t="n"/>
      <c r="G947" s="28" t="n"/>
      <c r="H947" s="28" t="n"/>
    </row>
    <row r="948">
      <c r="A948" s="90" t="n"/>
      <c r="B948" s="28" t="n"/>
      <c r="C948" s="28" t="n"/>
      <c r="D948" s="28" t="n"/>
      <c r="E948" s="28" t="n"/>
      <c r="F948" s="28" t="n"/>
      <c r="G948" s="28" t="n"/>
      <c r="H948" s="28" t="n"/>
    </row>
    <row r="949">
      <c r="A949" s="90" t="n"/>
      <c r="B949" s="28" t="n"/>
      <c r="C949" s="28" t="n"/>
      <c r="D949" s="28" t="n"/>
      <c r="E949" s="28" t="n"/>
      <c r="F949" s="28" t="n"/>
      <c r="G949" s="28" t="n"/>
      <c r="H949" s="28" t="n"/>
    </row>
    <row r="950">
      <c r="A950" s="90" t="n"/>
      <c r="B950" s="28" t="n"/>
      <c r="C950" s="28" t="n"/>
      <c r="D950" s="28" t="n"/>
      <c r="E950" s="28" t="n"/>
      <c r="F950" s="28" t="n"/>
      <c r="G950" s="28" t="n"/>
      <c r="H950" s="28" t="n"/>
    </row>
    <row r="951">
      <c r="A951" s="90" t="n"/>
      <c r="B951" s="28" t="n"/>
      <c r="C951" s="28" t="n"/>
      <c r="D951" s="28" t="n"/>
      <c r="E951" s="28" t="n"/>
      <c r="F951" s="28" t="n"/>
      <c r="G951" s="28" t="n"/>
      <c r="H951" s="28" t="n"/>
    </row>
    <row r="952">
      <c r="A952" s="90" t="n"/>
      <c r="B952" s="28" t="n"/>
      <c r="C952" s="28" t="n"/>
      <c r="D952" s="28" t="n"/>
      <c r="E952" s="28" t="n"/>
      <c r="F952" s="28" t="n"/>
      <c r="G952" s="28" t="n"/>
      <c r="H952" s="28" t="n"/>
    </row>
    <row r="953">
      <c r="A953" s="90" t="n"/>
      <c r="B953" s="28" t="n"/>
      <c r="C953" s="28" t="n"/>
      <c r="D953" s="28" t="n"/>
      <c r="E953" s="28" t="n"/>
      <c r="F953" s="28" t="n"/>
      <c r="G953" s="28" t="n"/>
      <c r="H953" s="28" t="n"/>
    </row>
    <row r="954">
      <c r="A954" s="90" t="n"/>
      <c r="B954" s="28" t="n"/>
      <c r="C954" s="28" t="n"/>
      <c r="D954" s="28" t="n"/>
      <c r="E954" s="28" t="n"/>
      <c r="F954" s="28" t="n"/>
      <c r="G954" s="28" t="n"/>
      <c r="H954" s="28" t="n"/>
    </row>
    <row r="955">
      <c r="A955" s="90" t="n"/>
      <c r="B955" s="28" t="n"/>
      <c r="C955" s="28" t="n"/>
      <c r="D955" s="28" t="n"/>
      <c r="E955" s="28" t="n"/>
      <c r="F955" s="28" t="n"/>
      <c r="G955" s="28" t="n"/>
      <c r="H955" s="28" t="n"/>
    </row>
    <row r="956">
      <c r="A956" s="90" t="n"/>
      <c r="B956" s="28" t="n"/>
      <c r="C956" s="28" t="n"/>
      <c r="D956" s="28" t="n"/>
      <c r="E956" s="28" t="n"/>
      <c r="F956" s="28" t="n"/>
      <c r="G956" s="28" t="n"/>
      <c r="H956" s="28" t="n"/>
    </row>
    <row r="957">
      <c r="A957" s="90" t="n"/>
      <c r="B957" s="28" t="n"/>
      <c r="C957" s="28" t="n"/>
      <c r="D957" s="28" t="n"/>
      <c r="E957" s="28" t="n"/>
      <c r="F957" s="28" t="n"/>
      <c r="G957" s="28" t="n"/>
      <c r="H957" s="28" t="n"/>
    </row>
    <row r="958">
      <c r="A958" s="90" t="n"/>
      <c r="B958" s="28" t="n"/>
      <c r="C958" s="28" t="n"/>
      <c r="D958" s="28" t="n"/>
      <c r="E958" s="28" t="n"/>
      <c r="F958" s="28" t="n"/>
      <c r="G958" s="28" t="n"/>
      <c r="H958" s="28" t="n"/>
    </row>
    <row r="959">
      <c r="A959" s="90" t="n"/>
      <c r="B959" s="28" t="n"/>
      <c r="C959" s="28" t="n"/>
      <c r="D959" s="28" t="n"/>
      <c r="E959" s="28" t="n"/>
      <c r="F959" s="28" t="n"/>
      <c r="G959" s="28" t="n"/>
      <c r="H959" s="28" t="n"/>
    </row>
    <row r="960">
      <c r="A960" s="90" t="n"/>
      <c r="B960" s="28" t="n"/>
      <c r="C960" s="28" t="n"/>
      <c r="D960" s="28" t="n"/>
      <c r="E960" s="28" t="n"/>
      <c r="F960" s="28" t="n"/>
      <c r="G960" s="28" t="n"/>
      <c r="H960" s="28" t="n"/>
    </row>
    <row r="961">
      <c r="A961" s="90" t="n"/>
      <c r="B961" s="28" t="n"/>
      <c r="C961" s="28" t="n"/>
      <c r="D961" s="28" t="n"/>
      <c r="E961" s="28" t="n"/>
      <c r="F961" s="28" t="n"/>
      <c r="G961" s="28" t="n"/>
      <c r="H961" s="28" t="n"/>
    </row>
    <row r="962">
      <c r="A962" s="90" t="n"/>
      <c r="B962" s="28" t="n"/>
      <c r="C962" s="28" t="n"/>
      <c r="D962" s="28" t="n"/>
      <c r="E962" s="28" t="n"/>
      <c r="F962" s="28" t="n"/>
      <c r="G962" s="28" t="n"/>
      <c r="H962" s="28" t="n"/>
    </row>
    <row r="963">
      <c r="A963" s="90" t="n"/>
      <c r="B963" s="28" t="n"/>
      <c r="C963" s="28" t="n"/>
      <c r="D963" s="28" t="n"/>
      <c r="E963" s="28" t="n"/>
      <c r="F963" s="28" t="n"/>
      <c r="G963" s="28" t="n"/>
      <c r="H963" s="28" t="n"/>
    </row>
    <row r="964">
      <c r="A964" s="90" t="n"/>
      <c r="B964" s="28" t="n"/>
      <c r="C964" s="28" t="n"/>
      <c r="D964" s="28" t="n"/>
      <c r="E964" s="28" t="n"/>
      <c r="F964" s="28" t="n"/>
      <c r="G964" s="28" t="n"/>
      <c r="H964" s="28" t="n"/>
    </row>
    <row r="965">
      <c r="A965" s="90" t="n"/>
      <c r="B965" s="28" t="n"/>
      <c r="C965" s="28" t="n"/>
      <c r="D965" s="28" t="n"/>
      <c r="E965" s="28" t="n"/>
      <c r="F965" s="28" t="n"/>
      <c r="G965" s="28" t="n"/>
      <c r="H965" s="28" t="n"/>
    </row>
    <row r="966">
      <c r="A966" s="90" t="n"/>
      <c r="B966" s="28" t="n"/>
      <c r="C966" s="28" t="n"/>
      <c r="D966" s="28" t="n"/>
      <c r="E966" s="28" t="n"/>
      <c r="F966" s="28" t="n"/>
      <c r="G966" s="28" t="n"/>
      <c r="H966" s="28" t="n"/>
    </row>
    <row r="967">
      <c r="A967" s="90" t="n"/>
      <c r="B967" s="28" t="n"/>
      <c r="C967" s="28" t="n"/>
      <c r="D967" s="28" t="n"/>
      <c r="E967" s="28" t="n"/>
      <c r="F967" s="28" t="n"/>
      <c r="G967" s="28" t="n"/>
      <c r="H967" s="28" t="n"/>
    </row>
    <row r="968">
      <c r="A968" s="90" t="n"/>
      <c r="B968" s="28" t="n"/>
      <c r="C968" s="28" t="n"/>
      <c r="D968" s="28" t="n"/>
      <c r="E968" s="28" t="n"/>
      <c r="F968" s="28" t="n"/>
      <c r="G968" s="28" t="n"/>
      <c r="H968" s="28" t="n"/>
    </row>
    <row r="969">
      <c r="A969" s="90" t="n"/>
      <c r="B969" s="28" t="n"/>
      <c r="C969" s="28" t="n"/>
      <c r="D969" s="28" t="n"/>
      <c r="E969" s="28" t="n"/>
      <c r="F969" s="28" t="n"/>
      <c r="G969" s="28" t="n"/>
      <c r="H969" s="28" t="n"/>
    </row>
    <row r="970">
      <c r="A970" s="90" t="n"/>
      <c r="B970" s="28" t="n"/>
      <c r="C970" s="28" t="n"/>
      <c r="D970" s="28" t="n"/>
      <c r="E970" s="28" t="n"/>
      <c r="F970" s="28" t="n"/>
      <c r="G970" s="28" t="n"/>
      <c r="H970" s="28" t="n"/>
    </row>
    <row r="971">
      <c r="A971" s="90" t="n"/>
      <c r="B971" s="28" t="n"/>
      <c r="C971" s="28" t="n"/>
      <c r="D971" s="28" t="n"/>
      <c r="E971" s="28" t="n"/>
      <c r="F971" s="28" t="n"/>
      <c r="G971" s="28" t="n"/>
      <c r="H971" s="28" t="n"/>
    </row>
    <row r="972">
      <c r="A972" s="90" t="n"/>
      <c r="B972" s="28" t="n"/>
      <c r="C972" s="28" t="n"/>
      <c r="D972" s="28" t="n"/>
      <c r="E972" s="28" t="n"/>
      <c r="F972" s="28" t="n"/>
      <c r="G972" s="28" t="n"/>
      <c r="H972" s="28" t="n"/>
    </row>
    <row r="973">
      <c r="A973" s="90" t="n"/>
      <c r="B973" s="28" t="n"/>
      <c r="C973" s="28" t="n"/>
      <c r="D973" s="28" t="n"/>
      <c r="E973" s="28" t="n"/>
      <c r="F973" s="28" t="n"/>
      <c r="G973" s="28" t="n"/>
      <c r="H973" s="28" t="n"/>
    </row>
    <row r="974">
      <c r="A974" s="90" t="n"/>
      <c r="B974" s="28" t="n"/>
      <c r="C974" s="28" t="n"/>
      <c r="D974" s="28" t="n"/>
      <c r="E974" s="28" t="n"/>
      <c r="F974" s="28" t="n"/>
      <c r="G974" s="28" t="n"/>
      <c r="H974" s="28" t="n"/>
    </row>
    <row r="975">
      <c r="A975" s="90" t="n"/>
      <c r="B975" s="28" t="n"/>
      <c r="C975" s="28" t="n"/>
      <c r="D975" s="28" t="n"/>
      <c r="E975" s="28" t="n"/>
      <c r="F975" s="28" t="n"/>
      <c r="G975" s="28" t="n"/>
      <c r="H975" s="28" t="n"/>
    </row>
    <row r="976">
      <c r="A976" s="90" t="n"/>
      <c r="B976" s="28" t="n"/>
      <c r="C976" s="28" t="n"/>
      <c r="D976" s="28" t="n"/>
      <c r="E976" s="28" t="n"/>
      <c r="F976" s="28" t="n"/>
      <c r="G976" s="28" t="n"/>
      <c r="H976" s="28" t="n"/>
    </row>
    <row r="977">
      <c r="A977" s="90" t="n"/>
      <c r="B977" s="28" t="n"/>
      <c r="C977" s="28" t="n"/>
      <c r="D977" s="28" t="n"/>
      <c r="E977" s="28" t="n"/>
      <c r="F977" s="28" t="n"/>
      <c r="G977" s="28" t="n"/>
      <c r="H977" s="28" t="n"/>
    </row>
    <row r="978">
      <c r="A978" s="90" t="n"/>
      <c r="B978" s="28" t="n"/>
      <c r="C978" s="28" t="n"/>
      <c r="D978" s="28" t="n"/>
      <c r="E978" s="28" t="n"/>
      <c r="F978" s="28" t="n"/>
      <c r="G978" s="28" t="n"/>
      <c r="H978" s="28" t="n"/>
    </row>
    <row r="979">
      <c r="A979" s="90" t="n"/>
      <c r="B979" s="28" t="n"/>
      <c r="C979" s="28" t="n"/>
      <c r="D979" s="28" t="n"/>
      <c r="E979" s="28" t="n"/>
      <c r="F979" s="28" t="n"/>
      <c r="G979" s="28" t="n"/>
      <c r="H979" s="28" t="n"/>
    </row>
    <row r="980">
      <c r="A980" s="90" t="n"/>
      <c r="B980" s="28" t="n"/>
      <c r="C980" s="28" t="n"/>
      <c r="D980" s="28" t="n"/>
      <c r="E980" s="28" t="n"/>
      <c r="F980" s="28" t="n"/>
      <c r="G980" s="28" t="n"/>
      <c r="H980" s="28" t="n"/>
    </row>
    <row r="981">
      <c r="A981" s="90" t="n"/>
      <c r="B981" s="28" t="n"/>
      <c r="C981" s="28" t="n"/>
      <c r="D981" s="28" t="n"/>
      <c r="E981" s="28" t="n"/>
      <c r="F981" s="28" t="n"/>
      <c r="G981" s="28" t="n"/>
      <c r="H981" s="28" t="n"/>
    </row>
    <row r="982">
      <c r="A982" s="90" t="n"/>
      <c r="B982" s="28" t="n"/>
      <c r="C982" s="28" t="n"/>
      <c r="D982" s="28" t="n"/>
      <c r="E982" s="28" t="n"/>
      <c r="F982" s="28" t="n"/>
      <c r="G982" s="28" t="n"/>
      <c r="H982" s="28" t="n"/>
    </row>
    <row r="983">
      <c r="A983" s="90" t="n"/>
      <c r="B983" s="28" t="n"/>
      <c r="C983" s="28" t="n"/>
      <c r="D983" s="28" t="n"/>
      <c r="E983" s="28" t="n"/>
      <c r="F983" s="28" t="n"/>
      <c r="G983" s="28" t="n"/>
      <c r="H983" s="28" t="n"/>
    </row>
    <row r="984">
      <c r="A984" s="90" t="n"/>
      <c r="B984" s="28" t="n"/>
      <c r="C984" s="28" t="n"/>
      <c r="D984" s="28" t="n"/>
      <c r="E984" s="28" t="n"/>
      <c r="F984" s="28" t="n"/>
      <c r="G984" s="28" t="n"/>
      <c r="H984" s="28" t="n"/>
    </row>
    <row r="985">
      <c r="A985" s="90" t="n"/>
      <c r="B985" s="28" t="n"/>
      <c r="C985" s="28" t="n"/>
      <c r="D985" s="28" t="n"/>
      <c r="E985" s="28" t="n"/>
      <c r="F985" s="28" t="n"/>
      <c r="G985" s="28" t="n"/>
      <c r="H985" s="28" t="n"/>
    </row>
    <row r="986">
      <c r="A986" s="90" t="n"/>
      <c r="B986" s="28" t="n"/>
      <c r="C986" s="28" t="n"/>
      <c r="D986" s="28" t="n"/>
      <c r="E986" s="28" t="n"/>
      <c r="F986" s="28" t="n"/>
      <c r="G986" s="28" t="n"/>
      <c r="H986" s="28" t="n"/>
    </row>
    <row r="987">
      <c r="A987" s="90" t="n"/>
      <c r="B987" s="28" t="n"/>
      <c r="C987" s="28" t="n"/>
      <c r="D987" s="28" t="n"/>
      <c r="E987" s="28" t="n"/>
      <c r="F987" s="28" t="n"/>
      <c r="G987" s="28" t="n"/>
      <c r="H987" s="28" t="n"/>
    </row>
    <row r="988">
      <c r="A988" s="90" t="n"/>
      <c r="B988" s="28" t="n"/>
      <c r="C988" s="28" t="n"/>
      <c r="D988" s="28" t="n"/>
      <c r="E988" s="28" t="n"/>
      <c r="F988" s="28" t="n"/>
      <c r="G988" s="28" t="n"/>
      <c r="H988" s="28" t="n"/>
    </row>
    <row r="989">
      <c r="A989" s="90" t="n"/>
      <c r="B989" s="28" t="n"/>
      <c r="C989" s="28" t="n"/>
      <c r="D989" s="28" t="n"/>
      <c r="E989" s="28" t="n"/>
      <c r="F989" s="28" t="n"/>
      <c r="G989" s="28" t="n"/>
      <c r="H989" s="28" t="n"/>
    </row>
    <row r="990">
      <c r="A990" s="90" t="n"/>
      <c r="B990" s="28" t="n"/>
      <c r="C990" s="28" t="n"/>
      <c r="D990" s="28" t="n"/>
      <c r="E990" s="28" t="n"/>
      <c r="F990" s="28" t="n"/>
      <c r="G990" s="28" t="n"/>
      <c r="H990" s="28" t="n"/>
    </row>
    <row r="991">
      <c r="A991" s="90" t="n"/>
      <c r="B991" s="28" t="n"/>
      <c r="C991" s="28" t="n"/>
      <c r="D991" s="28" t="n"/>
      <c r="E991" s="28" t="n"/>
      <c r="F991" s="28" t="n"/>
      <c r="G991" s="28" t="n"/>
      <c r="H991" s="28" t="n"/>
    </row>
    <row r="992">
      <c r="A992" s="90" t="n"/>
      <c r="B992" s="28" t="n"/>
      <c r="C992" s="28" t="n"/>
      <c r="D992" s="28" t="n"/>
      <c r="E992" s="28" t="n"/>
      <c r="F992" s="28" t="n"/>
      <c r="G992" s="28" t="n"/>
      <c r="H992" s="28" t="n"/>
    </row>
    <row r="993">
      <c r="A993" s="90" t="n"/>
      <c r="B993" s="28" t="n"/>
      <c r="C993" s="28" t="n"/>
      <c r="D993" s="28" t="n"/>
      <c r="E993" s="28" t="n"/>
      <c r="F993" s="28" t="n"/>
      <c r="G993" s="28" t="n"/>
      <c r="H993" s="28" t="n"/>
    </row>
    <row r="994">
      <c r="A994" s="90" t="n"/>
      <c r="B994" s="28" t="n"/>
      <c r="C994" s="28" t="n"/>
      <c r="D994" s="28" t="n"/>
      <c r="E994" s="28" t="n"/>
      <c r="F994" s="28" t="n"/>
      <c r="G994" s="28" t="n"/>
      <c r="H994" s="28" t="n"/>
    </row>
    <row r="995">
      <c r="A995" s="90" t="n"/>
      <c r="B995" s="28" t="n"/>
      <c r="C995" s="28" t="n"/>
      <c r="D995" s="28" t="n"/>
      <c r="E995" s="28" t="n"/>
      <c r="F995" s="28" t="n"/>
      <c r="G995" s="28" t="n"/>
      <c r="H995" s="28" t="n"/>
    </row>
    <row r="996">
      <c r="A996" s="90" t="n"/>
      <c r="B996" s="28" t="n"/>
      <c r="C996" s="28" t="n"/>
      <c r="D996" s="28" t="n"/>
      <c r="E996" s="28" t="n"/>
      <c r="F996" s="28" t="n"/>
      <c r="G996" s="28" t="n"/>
      <c r="H996" s="28" t="n"/>
    </row>
    <row r="997">
      <c r="A997" s="90" t="n"/>
      <c r="B997" s="28" t="n"/>
      <c r="C997" s="28" t="n"/>
      <c r="D997" s="28" t="n"/>
      <c r="E997" s="28" t="n"/>
      <c r="F997" s="28" t="n"/>
      <c r="G997" s="28" t="n"/>
      <c r="H997" s="28" t="n"/>
    </row>
    <row r="998">
      <c r="A998" s="90" t="n"/>
      <c r="B998" s="28" t="n"/>
      <c r="C998" s="28" t="n"/>
      <c r="D998" s="28" t="n"/>
      <c r="E998" s="28" t="n"/>
      <c r="F998" s="28" t="n"/>
      <c r="G998" s="28" t="n"/>
      <c r="H998" s="28" t="n"/>
    </row>
    <row r="999">
      <c r="A999" s="90" t="n"/>
      <c r="B999" s="28" t="n"/>
      <c r="C999" s="28" t="n"/>
      <c r="D999" s="28" t="n"/>
      <c r="E999" s="28" t="n"/>
      <c r="F999" s="28" t="n"/>
      <c r="G999" s="28" t="n"/>
      <c r="H999" s="28" t="n"/>
    </row>
    <row r="1000">
      <c r="A1000" s="90" t="n"/>
      <c r="B1000" s="28" t="n"/>
      <c r="C1000" s="28" t="n"/>
      <c r="D1000" s="28" t="n"/>
      <c r="E1000" s="28" t="n"/>
      <c r="F1000" s="28" t="n"/>
      <c r="G1000" s="28" t="n"/>
      <c r="H1000" s="28" t="n"/>
    </row>
    <row r="1001">
      <c r="A1001" s="90" t="n"/>
      <c r="B1001" s="28" t="n"/>
      <c r="C1001" s="28" t="n"/>
      <c r="D1001" s="28" t="n"/>
      <c r="E1001" s="28" t="n"/>
      <c r="F1001" s="28" t="n"/>
      <c r="G1001" s="28" t="n"/>
      <c r="H1001" s="28" t="n"/>
    </row>
  </sheetData>
  <dataValidations count="4">
    <dataValidation sqref="A2:A1001" showDropDown="0" showInputMessage="0" showErrorMessage="0" allowBlank="0" type="date" operator="between">
      <formula1>DATE(2020,1,1)</formula1>
      <formula2>DATE(2035,12,31)</formula2>
    </dataValidation>
    <dataValidation sqref="F2:F1001" showDropDown="0" showInputMessage="0" showErrorMessage="0" allowBlank="0" type="list">
      <formula1>legenda!$A$2:$A$277</formula1>
    </dataValidation>
    <dataValidation sqref="G2:G1001" showDropDown="0" showInputMessage="0" showErrorMessage="0" allowBlank="0" type="list">
      <formula1>legenda!$D$2:$D$10</formula1>
    </dataValidation>
    <dataValidation sqref="H2:H1001" showDropDown="0" showInputMessage="0" showErrorMessage="0" allowBlank="0" type="list">
      <formula1>legenda!$G$2:$G$20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78"/>
  <sheetViews>
    <sheetView workbookViewId="0">
      <selection activeCell="A1" sqref="A1"/>
    </sheetView>
  </sheetViews>
  <sheetFormatPr baseColWidth="8" defaultRowHeight="15"/>
  <cols>
    <col width="16" customWidth="1" style="72" min="1" max="1"/>
    <col width="16" customWidth="1" style="72" min="2" max="2"/>
    <col width="14" customWidth="1" style="72" min="3" max="3"/>
    <col width="14" customWidth="1" style="72" min="4" max="4"/>
    <col width="18" customWidth="1" style="72" min="5" max="5"/>
    <col width="24" customWidth="1" style="72" min="6" max="6"/>
    <col width="22" customWidth="1" style="72" min="7" max="7"/>
    <col width="18" customWidth="1" style="72" min="9" max="9"/>
    <col width="48" customWidth="1" style="72" min="10" max="10"/>
  </cols>
  <sheetData>
    <row r="1" ht="22" customHeight="1" s="72">
      <c r="A1" s="12" t="inlineStr">
        <is>
          <t>Região</t>
        </is>
      </c>
      <c r="B1" s="13" t="inlineStr">
        <is>
          <t>Status</t>
        </is>
      </c>
      <c r="C1" s="13" t="inlineStr">
        <is>
          <t>Equipe Example Organization</t>
        </is>
      </c>
      <c r="D1" s="13" t="inlineStr">
        <is>
          <t>Turma</t>
        </is>
      </c>
      <c r="E1" s="13" t="inlineStr">
        <is>
          <t>Faixa etária</t>
        </is>
      </c>
      <c r="F1" s="13" t="inlineStr">
        <is>
          <t>Motivo</t>
        </is>
      </c>
      <c r="G1" s="14" t="inlineStr">
        <is>
          <t>Renda Familiar</t>
        </is>
      </c>
      <c r="I1" s="26" t="inlineStr">
        <is>
          <t>Observações</t>
        </is>
      </c>
      <c r="J1" s="27" t="inlineStr">
        <is>
          <t>Descrição</t>
        </is>
      </c>
    </row>
    <row r="2">
      <c r="A2" s="17" t="inlineStr">
        <is>
          <t>AC</t>
        </is>
      </c>
      <c r="B2" s="17" t="inlineStr">
        <is>
          <t>Pré-aprovado</t>
        </is>
      </c>
      <c r="C2" s="17" t="inlineStr">
        <is>
          <t>Team A</t>
        </is>
      </c>
      <c r="D2" s="17" t="inlineStr">
        <is>
          <t>Online T</t>
        </is>
      </c>
      <c r="E2" s="17" t="inlineStr">
        <is>
          <t>Menos de 16 anos</t>
        </is>
      </c>
      <c r="F2" s="17" t="inlineStr">
        <is>
          <t>Sem interesse</t>
        </is>
      </c>
      <c r="G2" s="17" t="inlineStr">
        <is>
          <t>Até 1 salário mínimo</t>
        </is>
      </c>
      <c r="I2" s="17" t="inlineStr">
        <is>
          <t>Região</t>
        </is>
      </c>
      <c r="J2" s="17" t="inlineStr">
        <is>
          <t>Use a sigla do estado brasileiro ou a sigla ISO-2 do país.</t>
        </is>
      </c>
    </row>
    <row r="3">
      <c r="A3" s="17" t="inlineStr">
        <is>
          <t>AL</t>
        </is>
      </c>
      <c r="B3" s="17" t="inlineStr">
        <is>
          <t>Em análise</t>
        </is>
      </c>
      <c r="C3" s="17" t="inlineStr">
        <is>
          <t>Team B</t>
        </is>
      </c>
      <c r="D3" s="17" t="inlineStr">
        <is>
          <t>Online M</t>
        </is>
      </c>
      <c r="E3" s="17" t="inlineStr">
        <is>
          <t>Entre 16 a 24 anos</t>
        </is>
      </c>
      <c r="F3" s="17" t="inlineStr">
        <is>
          <t>desistencia</t>
        </is>
      </c>
      <c r="G3" s="17" t="inlineStr">
        <is>
          <t>De 1 a 2 salários mínimos</t>
        </is>
      </c>
      <c r="I3" s="17" t="inlineStr">
        <is>
          <t>Motivo</t>
        </is>
      </c>
      <c r="J3" s="17" t="inlineStr">
        <is>
          <t>Lista de opções usada no campo Motivo das abas da equipe.</t>
        </is>
      </c>
    </row>
    <row r="4">
      <c r="A4" s="17" t="inlineStr">
        <is>
          <t>AP</t>
        </is>
      </c>
      <c r="B4" s="17" t="inlineStr">
        <is>
          <t>Negado</t>
        </is>
      </c>
      <c r="C4" s="17" t="inlineStr">
        <is>
          <t>Team C</t>
        </is>
      </c>
      <c r="D4" s="17" t="inlineStr">
        <is>
          <t>Presencial</t>
        </is>
      </c>
      <c r="E4" s="17" t="inlineStr">
        <is>
          <t>Mais de 24 anos</t>
        </is>
      </c>
      <c r="F4" s="17" t="inlineStr">
        <is>
          <t>conflito de agenda</t>
        </is>
      </c>
      <c r="G4" s="17" t="inlineStr">
        <is>
          <t>De 2 a 3 salários mínimos</t>
        </is>
      </c>
      <c r="I4" s="17" t="inlineStr">
        <is>
          <t>Equipe</t>
        </is>
      </c>
      <c r="J4" s="17" t="inlineStr">
        <is>
          <t>As abas individuais puxam automaticamente os candidatos atribuídos.</t>
        </is>
      </c>
    </row>
    <row r="5">
      <c r="A5" s="17" t="inlineStr">
        <is>
          <t>AM</t>
        </is>
      </c>
      <c r="B5" s="17" t="inlineStr">
        <is>
          <t>Desistência</t>
        </is>
      </c>
      <c r="C5" s="17" t="n"/>
      <c r="D5" s="17" t="n"/>
      <c r="E5" s="17" t="n"/>
      <c r="F5" s="17" t="inlineStr">
        <is>
          <t>trabalho</t>
        </is>
      </c>
      <c r="G5" s="17" t="inlineStr">
        <is>
          <t>Acima de 3 salários mínimos</t>
        </is>
      </c>
      <c r="I5" s="17" t="inlineStr">
        <is>
          <t>Status</t>
        </is>
      </c>
      <c r="J5" s="17" t="inlineStr">
        <is>
          <t>Valores usados no dashboard e nas abas automáticas.</t>
        </is>
      </c>
    </row>
    <row r="6">
      <c r="A6" s="17" t="inlineStr">
        <is>
          <t>BA</t>
        </is>
      </c>
      <c r="B6" s="17" t="inlineStr">
        <is>
          <t>Aprovado</t>
        </is>
      </c>
      <c r="C6" s="17" t="n"/>
      <c r="D6" s="17" t="n"/>
      <c r="E6" s="17" t="n"/>
      <c r="F6" s="17" t="inlineStr">
        <is>
          <t>inscrição incorreta</t>
        </is>
      </c>
      <c r="G6" s="17" t="inlineStr">
        <is>
          <t>Não informado</t>
        </is>
      </c>
      <c r="I6" s="17" t="inlineStr">
        <is>
          <t>Turma</t>
        </is>
      </c>
      <c r="J6" s="17" t="inlineStr">
        <is>
          <t>Mantidas conforme a planilha original.</t>
        </is>
      </c>
    </row>
    <row r="7">
      <c r="A7" s="17" t="inlineStr">
        <is>
          <t>CE</t>
        </is>
      </c>
      <c r="B7" s="17" t="n"/>
      <c r="C7" s="17" t="n"/>
      <c r="D7" s="17" t="n"/>
      <c r="E7" s="17" t="n"/>
      <c r="F7" s="17" t="inlineStr">
        <is>
          <t>sem requisitos</t>
        </is>
      </c>
      <c r="G7" s="17" t="n"/>
    </row>
    <row r="8">
      <c r="A8" s="17" t="inlineStr">
        <is>
          <t>DF</t>
        </is>
      </c>
      <c r="B8" s="17" t="n"/>
      <c r="C8" s="17" t="n"/>
      <c r="D8" s="17" t="n"/>
      <c r="E8" s="17" t="n"/>
      <c r="F8" s="17" t="inlineStr">
        <is>
          <t>reserva</t>
        </is>
      </c>
      <c r="G8" s="17" t="n"/>
    </row>
    <row r="9">
      <c r="A9" s="17" t="inlineStr">
        <is>
          <t>ES</t>
        </is>
      </c>
      <c r="B9" s="17" t="n"/>
      <c r="C9" s="17" t="n"/>
      <c r="D9" s="17" t="n"/>
      <c r="E9" s="17" t="n"/>
      <c r="F9" s="17" t="inlineStr">
        <is>
          <t>sem retorno</t>
        </is>
      </c>
      <c r="G9" s="17" t="n"/>
    </row>
    <row r="10">
      <c r="A10" s="17" t="inlineStr">
        <is>
          <t>GO</t>
        </is>
      </c>
      <c r="B10" s="17" t="n"/>
      <c r="C10" s="17" t="n"/>
      <c r="D10" s="17" t="n"/>
      <c r="E10" s="17" t="n"/>
      <c r="F10" s="17" t="inlineStr">
        <is>
          <t>bloqueio</t>
        </is>
      </c>
      <c r="G10" s="17" t="n"/>
    </row>
    <row r="11">
      <c r="A11" s="17" t="inlineStr">
        <is>
          <t>MA</t>
        </is>
      </c>
      <c r="B11" s="17" t="n"/>
      <c r="C11" s="17" t="n"/>
      <c r="D11" s="17" t="n"/>
      <c r="E11" s="17" t="n"/>
      <c r="F11" s="17" t="inlineStr">
        <is>
          <t>sem retorno email</t>
        </is>
      </c>
      <c r="G11" s="17" t="n"/>
    </row>
    <row r="12">
      <c r="A12" s="17" t="inlineStr">
        <is>
          <t>MT</t>
        </is>
      </c>
      <c r="B12" s="17" t="n"/>
      <c r="C12" s="17" t="n"/>
      <c r="D12" s="17" t="n"/>
      <c r="E12" s="17" t="n"/>
      <c r="F12" s="17" t="inlineStr">
        <is>
          <t>sem acesso zap</t>
        </is>
      </c>
      <c r="G12" s="17" t="n"/>
    </row>
    <row r="13">
      <c r="A13" s="17" t="inlineStr">
        <is>
          <t>MS</t>
        </is>
      </c>
      <c r="B13" s="17" t="n"/>
      <c r="C13" s="17" t="n"/>
      <c r="D13" s="17" t="n"/>
      <c r="E13" s="17" t="n"/>
      <c r="F13" s="17" t="n"/>
      <c r="G13" s="17" t="n"/>
    </row>
    <row r="14">
      <c r="A14" s="17" t="inlineStr">
        <is>
          <t>MG</t>
        </is>
      </c>
      <c r="B14" s="17" t="n"/>
      <c r="C14" s="17" t="n"/>
      <c r="D14" s="17" t="n"/>
      <c r="E14" s="17" t="n"/>
      <c r="F14" s="17" t="n"/>
      <c r="G14" s="17" t="n"/>
    </row>
    <row r="15">
      <c r="A15" s="17" t="inlineStr">
        <is>
          <t>PA</t>
        </is>
      </c>
      <c r="B15" s="17" t="n"/>
      <c r="C15" s="17" t="n"/>
      <c r="D15" s="17" t="n"/>
      <c r="E15" s="17" t="n"/>
      <c r="F15" s="17" t="n"/>
      <c r="G15" s="17" t="n"/>
    </row>
    <row r="16">
      <c r="A16" s="17" t="inlineStr">
        <is>
          <t>PB</t>
        </is>
      </c>
      <c r="B16" s="17" t="n"/>
      <c r="C16" s="17" t="n"/>
      <c r="D16" s="17" t="n"/>
      <c r="E16" s="17" t="n"/>
      <c r="F16" s="17" t="n"/>
      <c r="G16" s="17" t="n"/>
    </row>
    <row r="17">
      <c r="A17" s="17" t="inlineStr">
        <is>
          <t>PR</t>
        </is>
      </c>
      <c r="B17" s="17" t="n"/>
      <c r="C17" s="17" t="n"/>
      <c r="D17" s="17" t="n"/>
      <c r="E17" s="17" t="n"/>
      <c r="F17" s="17" t="n"/>
      <c r="G17" s="17" t="n"/>
    </row>
    <row r="18">
      <c r="A18" s="17" t="inlineStr">
        <is>
          <t>PE</t>
        </is>
      </c>
      <c r="B18" s="17" t="n"/>
      <c r="C18" s="17" t="n"/>
      <c r="D18" s="17" t="n"/>
      <c r="E18" s="17" t="n"/>
      <c r="F18" s="17" t="n"/>
      <c r="G18" s="17" t="n"/>
    </row>
    <row r="19">
      <c r="A19" s="17" t="inlineStr">
        <is>
          <t>PI</t>
        </is>
      </c>
      <c r="B19" s="17" t="n"/>
      <c r="C19" s="17" t="n"/>
      <c r="D19" s="17" t="n"/>
      <c r="E19" s="17" t="n"/>
      <c r="F19" s="17" t="n"/>
      <c r="G19" s="17" t="n"/>
    </row>
    <row r="20">
      <c r="A20" s="17" t="inlineStr">
        <is>
          <t>RJ</t>
        </is>
      </c>
      <c r="B20" s="17" t="n"/>
      <c r="C20" s="17" t="n"/>
      <c r="D20" s="17" t="n"/>
      <c r="E20" s="17" t="n"/>
      <c r="F20" s="17" t="n"/>
      <c r="G20" s="17" t="n"/>
    </row>
    <row r="21">
      <c r="A21" s="17" t="inlineStr">
        <is>
          <t>RN</t>
        </is>
      </c>
      <c r="B21" s="17" t="n"/>
      <c r="C21" s="17" t="n"/>
      <c r="D21" s="17" t="n"/>
      <c r="E21" s="17" t="n"/>
      <c r="F21" s="17" t="n"/>
      <c r="G21" s="17" t="n"/>
    </row>
    <row r="22">
      <c r="A22" s="17" t="inlineStr">
        <is>
          <t>RS</t>
        </is>
      </c>
      <c r="B22" s="17" t="n"/>
      <c r="C22" s="17" t="n"/>
      <c r="D22" s="17" t="n"/>
      <c r="E22" s="17" t="n"/>
      <c r="F22" s="17" t="n"/>
      <c r="G22" s="17" t="n"/>
    </row>
    <row r="23">
      <c r="A23" s="17" t="inlineStr">
        <is>
          <t>RO</t>
        </is>
      </c>
      <c r="B23" s="17" t="n"/>
      <c r="C23" s="17" t="n"/>
      <c r="D23" s="17" t="n"/>
      <c r="E23" s="17" t="n"/>
      <c r="F23" s="17" t="n"/>
      <c r="G23" s="17" t="n"/>
    </row>
    <row r="24">
      <c r="A24" s="17" t="inlineStr">
        <is>
          <t>RR</t>
        </is>
      </c>
      <c r="B24" s="17" t="n"/>
      <c r="C24" s="17" t="n"/>
      <c r="D24" s="17" t="n"/>
      <c r="E24" s="17" t="n"/>
      <c r="F24" s="17" t="n"/>
      <c r="G24" s="17" t="n"/>
    </row>
    <row r="25">
      <c r="A25" s="17" t="inlineStr">
        <is>
          <t>SC</t>
        </is>
      </c>
      <c r="B25" s="17" t="n"/>
      <c r="C25" s="17" t="n"/>
      <c r="D25" s="17" t="n"/>
      <c r="E25" s="17" t="n"/>
      <c r="F25" s="17" t="n"/>
      <c r="G25" s="17" t="n"/>
    </row>
    <row r="26">
      <c r="A26" s="17" t="inlineStr">
        <is>
          <t>SP</t>
        </is>
      </c>
      <c r="B26" s="17" t="n"/>
      <c r="C26" s="17" t="n"/>
      <c r="D26" s="17" t="n"/>
      <c r="E26" s="17" t="n"/>
      <c r="F26" s="17" t="n"/>
      <c r="G26" s="17" t="n"/>
    </row>
    <row r="27">
      <c r="A27" s="17" t="inlineStr">
        <is>
          <t>SE</t>
        </is>
      </c>
      <c r="B27" s="17" t="n"/>
      <c r="C27" s="17" t="n"/>
      <c r="D27" s="17" t="n"/>
      <c r="E27" s="17" t="n"/>
      <c r="F27" s="17" t="n"/>
      <c r="G27" s="17" t="n"/>
    </row>
    <row r="28">
      <c r="A28" s="17" t="inlineStr">
        <is>
          <t>TO</t>
        </is>
      </c>
      <c r="B28" s="17" t="n"/>
      <c r="C28" s="17" t="n"/>
      <c r="D28" s="17" t="n"/>
      <c r="E28" s="17" t="n"/>
      <c r="F28" s="17" t="n"/>
      <c r="G28" s="17" t="n"/>
    </row>
    <row r="29">
      <c r="A29" s="17" t="inlineStr">
        <is>
          <t>-- Países (ISO-2) --</t>
        </is>
      </c>
      <c r="B29" s="17" t="n"/>
      <c r="C29" s="17" t="n"/>
      <c r="D29" s="17" t="n"/>
      <c r="E29" s="17" t="n"/>
      <c r="F29" s="17" t="n"/>
      <c r="G29" s="17" t="n"/>
    </row>
    <row r="30">
      <c r="A30" s="17" t="inlineStr">
        <is>
          <t>AD</t>
        </is>
      </c>
      <c r="B30" s="17" t="n"/>
      <c r="C30" s="17" t="n"/>
      <c r="D30" s="17" t="n"/>
      <c r="E30" s="17" t="n"/>
      <c r="F30" s="17" t="n"/>
      <c r="G30" s="17" t="n"/>
    </row>
    <row r="31">
      <c r="A31" s="17" t="inlineStr">
        <is>
          <t>AE</t>
        </is>
      </c>
      <c r="B31" s="17" t="n"/>
      <c r="C31" s="17" t="n"/>
      <c r="D31" s="17" t="n"/>
      <c r="E31" s="17" t="n"/>
      <c r="F31" s="17" t="n"/>
      <c r="G31" s="17" t="n"/>
    </row>
    <row r="32">
      <c r="A32" s="17" t="inlineStr">
        <is>
          <t>AF</t>
        </is>
      </c>
      <c r="B32" s="17" t="n"/>
      <c r="C32" s="17" t="n"/>
      <c r="D32" s="17" t="n"/>
      <c r="E32" s="17" t="n"/>
      <c r="F32" s="17" t="n"/>
      <c r="G32" s="17" t="n"/>
    </row>
    <row r="33">
      <c r="A33" s="17" t="inlineStr">
        <is>
          <t>AG</t>
        </is>
      </c>
      <c r="B33" s="17" t="n"/>
      <c r="C33" s="17" t="n"/>
      <c r="D33" s="17" t="n"/>
      <c r="E33" s="17" t="n"/>
      <c r="F33" s="17" t="n"/>
      <c r="G33" s="17" t="n"/>
    </row>
    <row r="34">
      <c r="A34" s="17" t="inlineStr">
        <is>
          <t>AI</t>
        </is>
      </c>
      <c r="B34" s="17" t="n"/>
      <c r="C34" s="17" t="n"/>
      <c r="D34" s="17" t="n"/>
      <c r="E34" s="17" t="n"/>
      <c r="F34" s="17" t="n"/>
      <c r="G34" s="17" t="n"/>
    </row>
    <row r="35">
      <c r="A35" s="17" t="inlineStr">
        <is>
          <t>AL</t>
        </is>
      </c>
      <c r="B35" s="17" t="n"/>
      <c r="C35" s="17" t="n"/>
      <c r="D35" s="17" t="n"/>
      <c r="E35" s="17" t="n"/>
      <c r="F35" s="17" t="n"/>
      <c r="G35" s="17" t="n"/>
    </row>
    <row r="36">
      <c r="A36" s="17" t="inlineStr">
        <is>
          <t>AM</t>
        </is>
      </c>
      <c r="B36" s="17" t="n"/>
      <c r="C36" s="17" t="n"/>
      <c r="D36" s="17" t="n"/>
      <c r="E36" s="17" t="n"/>
      <c r="F36" s="17" t="n"/>
      <c r="G36" s="17" t="n"/>
    </row>
    <row r="37">
      <c r="A37" s="17" t="inlineStr">
        <is>
          <t>AO</t>
        </is>
      </c>
      <c r="B37" s="17" t="n"/>
      <c r="C37" s="17" t="n"/>
      <c r="D37" s="17" t="n"/>
      <c r="E37" s="17" t="n"/>
      <c r="F37" s="17" t="n"/>
      <c r="G37" s="17" t="n"/>
    </row>
    <row r="38">
      <c r="A38" s="17" t="inlineStr">
        <is>
          <t>AQ</t>
        </is>
      </c>
      <c r="B38" s="17" t="n"/>
      <c r="C38" s="17" t="n"/>
      <c r="D38" s="17" t="n"/>
      <c r="E38" s="17" t="n"/>
      <c r="F38" s="17" t="n"/>
      <c r="G38" s="17" t="n"/>
    </row>
    <row r="39">
      <c r="A39" s="17" t="inlineStr">
        <is>
          <t>AR</t>
        </is>
      </c>
      <c r="B39" s="17" t="n"/>
      <c r="C39" s="17" t="n"/>
      <c r="D39" s="17" t="n"/>
      <c r="E39" s="17" t="n"/>
      <c r="F39" s="17" t="n"/>
      <c r="G39" s="17" t="n"/>
    </row>
    <row r="40">
      <c r="A40" s="17" t="inlineStr">
        <is>
          <t>AS</t>
        </is>
      </c>
      <c r="B40" s="17" t="n"/>
      <c r="C40" s="17" t="n"/>
      <c r="D40" s="17" t="n"/>
      <c r="E40" s="17" t="n"/>
      <c r="F40" s="17" t="n"/>
      <c r="G40" s="17" t="n"/>
    </row>
    <row r="41">
      <c r="A41" s="17" t="inlineStr">
        <is>
          <t>AT</t>
        </is>
      </c>
      <c r="B41" s="17" t="n"/>
      <c r="C41" s="17" t="n"/>
      <c r="D41" s="17" t="n"/>
      <c r="E41" s="17" t="n"/>
      <c r="F41" s="17" t="n"/>
      <c r="G41" s="17" t="n"/>
    </row>
    <row r="42">
      <c r="A42" s="17" t="inlineStr">
        <is>
          <t>AU</t>
        </is>
      </c>
      <c r="B42" s="17" t="n"/>
      <c r="C42" s="17" t="n"/>
      <c r="D42" s="17" t="n"/>
      <c r="E42" s="17" t="n"/>
      <c r="F42" s="17" t="n"/>
      <c r="G42" s="17" t="n"/>
    </row>
    <row r="43">
      <c r="A43" s="17" t="inlineStr">
        <is>
          <t>AW</t>
        </is>
      </c>
      <c r="B43" s="17" t="n"/>
      <c r="C43" s="17" t="n"/>
      <c r="D43" s="17" t="n"/>
      <c r="E43" s="17" t="n"/>
      <c r="F43" s="17" t="n"/>
      <c r="G43" s="17" t="n"/>
    </row>
    <row r="44">
      <c r="A44" s="17" t="inlineStr">
        <is>
          <t>AX</t>
        </is>
      </c>
      <c r="B44" s="17" t="n"/>
      <c r="C44" s="17" t="n"/>
      <c r="D44" s="17" t="n"/>
      <c r="E44" s="17" t="n"/>
      <c r="F44" s="17" t="n"/>
      <c r="G44" s="17" t="n"/>
    </row>
    <row r="45">
      <c r="A45" s="17" t="inlineStr">
        <is>
          <t>AZ</t>
        </is>
      </c>
      <c r="B45" s="17" t="n"/>
      <c r="C45" s="17" t="n"/>
      <c r="D45" s="17" t="n"/>
      <c r="E45" s="17" t="n"/>
      <c r="F45" s="17" t="n"/>
      <c r="G45" s="17" t="n"/>
    </row>
    <row r="46">
      <c r="A46" s="17" t="inlineStr">
        <is>
          <t>BA</t>
        </is>
      </c>
      <c r="B46" s="17" t="n"/>
      <c r="C46" s="17" t="n"/>
      <c r="D46" s="17" t="n"/>
      <c r="E46" s="17" t="n"/>
      <c r="F46" s="17" t="n"/>
      <c r="G46" s="17" t="n"/>
    </row>
    <row r="47">
      <c r="A47" s="17" t="inlineStr">
        <is>
          <t>BB</t>
        </is>
      </c>
      <c r="B47" s="17" t="n"/>
      <c r="C47" s="17" t="n"/>
      <c r="D47" s="17" t="n"/>
      <c r="E47" s="17" t="n"/>
      <c r="F47" s="17" t="n"/>
      <c r="G47" s="17" t="n"/>
    </row>
    <row r="48">
      <c r="A48" s="17" t="inlineStr">
        <is>
          <t>BD</t>
        </is>
      </c>
      <c r="B48" s="17" t="n"/>
      <c r="C48" s="17" t="n"/>
      <c r="D48" s="17" t="n"/>
      <c r="E48" s="17" t="n"/>
      <c r="F48" s="17" t="n"/>
      <c r="G48" s="17" t="n"/>
    </row>
    <row r="49">
      <c r="A49" s="17" t="inlineStr">
        <is>
          <t>BE</t>
        </is>
      </c>
      <c r="B49" s="17" t="n"/>
      <c r="C49" s="17" t="n"/>
      <c r="D49" s="17" t="n"/>
      <c r="E49" s="17" t="n"/>
      <c r="F49" s="17" t="n"/>
      <c r="G49" s="17" t="n"/>
    </row>
    <row r="50">
      <c r="A50" s="17" t="inlineStr">
        <is>
          <t>BF</t>
        </is>
      </c>
      <c r="B50" s="17" t="n"/>
      <c r="C50" s="17" t="n"/>
      <c r="D50" s="17" t="n"/>
      <c r="E50" s="17" t="n"/>
      <c r="F50" s="17" t="n"/>
      <c r="G50" s="17" t="n"/>
    </row>
    <row r="51">
      <c r="A51" s="17" t="inlineStr">
        <is>
          <t>BG</t>
        </is>
      </c>
      <c r="B51" s="17" t="n"/>
      <c r="C51" s="17" t="n"/>
      <c r="D51" s="17" t="n"/>
      <c r="E51" s="17" t="n"/>
      <c r="F51" s="17" t="n"/>
      <c r="G51" s="17" t="n"/>
    </row>
    <row r="52">
      <c r="A52" s="17" t="inlineStr">
        <is>
          <t>BH</t>
        </is>
      </c>
      <c r="B52" s="17" t="n"/>
      <c r="C52" s="17" t="n"/>
      <c r="D52" s="17" t="n"/>
      <c r="E52" s="17" t="n"/>
      <c r="F52" s="17" t="n"/>
      <c r="G52" s="17" t="n"/>
    </row>
    <row r="53">
      <c r="A53" s="17" t="inlineStr">
        <is>
          <t>BI</t>
        </is>
      </c>
      <c r="B53" s="17" t="n"/>
      <c r="C53" s="17" t="n"/>
      <c r="D53" s="17" t="n"/>
      <c r="E53" s="17" t="n"/>
      <c r="F53" s="17" t="n"/>
      <c r="G53" s="17" t="n"/>
    </row>
    <row r="54">
      <c r="A54" s="17" t="inlineStr">
        <is>
          <t>BJ</t>
        </is>
      </c>
      <c r="B54" s="17" t="n"/>
      <c r="C54" s="17" t="n"/>
      <c r="D54" s="17" t="n"/>
      <c r="E54" s="17" t="n"/>
      <c r="F54" s="17" t="n"/>
      <c r="G54" s="17" t="n"/>
    </row>
    <row r="55">
      <c r="A55" s="17" t="inlineStr">
        <is>
          <t>BL</t>
        </is>
      </c>
      <c r="B55" s="17" t="n"/>
      <c r="C55" s="17" t="n"/>
      <c r="D55" s="17" t="n"/>
      <c r="E55" s="17" t="n"/>
      <c r="F55" s="17" t="n"/>
      <c r="G55" s="17" t="n"/>
    </row>
    <row r="56">
      <c r="A56" s="17" t="inlineStr">
        <is>
          <t>BM</t>
        </is>
      </c>
      <c r="B56" s="17" t="n"/>
      <c r="C56" s="17" t="n"/>
      <c r="D56" s="17" t="n"/>
      <c r="E56" s="17" t="n"/>
      <c r="F56" s="17" t="n"/>
      <c r="G56" s="17" t="n"/>
    </row>
    <row r="57">
      <c r="A57" s="17" t="inlineStr">
        <is>
          <t>BN</t>
        </is>
      </c>
      <c r="B57" s="17" t="n"/>
      <c r="C57" s="17" t="n"/>
      <c r="D57" s="17" t="n"/>
      <c r="E57" s="17" t="n"/>
      <c r="F57" s="17" t="n"/>
      <c r="G57" s="17" t="n"/>
    </row>
    <row r="58">
      <c r="A58" s="17" t="inlineStr">
        <is>
          <t>BO</t>
        </is>
      </c>
      <c r="B58" s="17" t="n"/>
      <c r="C58" s="17" t="n"/>
      <c r="D58" s="17" t="n"/>
      <c r="E58" s="17" t="n"/>
      <c r="F58" s="17" t="n"/>
      <c r="G58" s="17" t="n"/>
    </row>
    <row r="59">
      <c r="A59" s="17" t="inlineStr">
        <is>
          <t>BQ</t>
        </is>
      </c>
      <c r="B59" s="17" t="n"/>
      <c r="C59" s="17" t="n"/>
      <c r="D59" s="17" t="n"/>
      <c r="E59" s="17" t="n"/>
      <c r="F59" s="17" t="n"/>
      <c r="G59" s="17" t="n"/>
    </row>
    <row r="60">
      <c r="A60" s="17" t="inlineStr">
        <is>
          <t>BR</t>
        </is>
      </c>
      <c r="B60" s="17" t="n"/>
      <c r="C60" s="17" t="n"/>
      <c r="D60" s="17" t="n"/>
      <c r="E60" s="17" t="n"/>
      <c r="F60" s="17" t="n"/>
      <c r="G60" s="17" t="n"/>
    </row>
    <row r="61">
      <c r="A61" s="17" t="inlineStr">
        <is>
          <t>BS</t>
        </is>
      </c>
      <c r="B61" s="17" t="n"/>
      <c r="C61" s="17" t="n"/>
      <c r="D61" s="17" t="n"/>
      <c r="E61" s="17" t="n"/>
      <c r="F61" s="17" t="n"/>
      <c r="G61" s="17" t="n"/>
    </row>
    <row r="62">
      <c r="A62" s="17" t="inlineStr">
        <is>
          <t>BT</t>
        </is>
      </c>
      <c r="B62" s="17" t="n"/>
      <c r="C62" s="17" t="n"/>
      <c r="D62" s="17" t="n"/>
      <c r="E62" s="17" t="n"/>
      <c r="F62" s="17" t="n"/>
      <c r="G62" s="17" t="n"/>
    </row>
    <row r="63">
      <c r="A63" s="17" t="inlineStr">
        <is>
          <t>BV</t>
        </is>
      </c>
      <c r="B63" s="17" t="n"/>
      <c r="C63" s="17" t="n"/>
      <c r="D63" s="17" t="n"/>
      <c r="E63" s="17" t="n"/>
      <c r="F63" s="17" t="n"/>
      <c r="G63" s="17" t="n"/>
    </row>
    <row r="64">
      <c r="A64" s="17" t="inlineStr">
        <is>
          <t>BW</t>
        </is>
      </c>
      <c r="B64" s="17" t="n"/>
      <c r="C64" s="17" t="n"/>
      <c r="D64" s="17" t="n"/>
      <c r="E64" s="17" t="n"/>
      <c r="F64" s="17" t="n"/>
      <c r="G64" s="17" t="n"/>
    </row>
    <row r="65">
      <c r="A65" s="17" t="inlineStr">
        <is>
          <t>BY</t>
        </is>
      </c>
      <c r="B65" s="17" t="n"/>
      <c r="C65" s="17" t="n"/>
      <c r="D65" s="17" t="n"/>
      <c r="E65" s="17" t="n"/>
      <c r="F65" s="17" t="n"/>
      <c r="G65" s="17" t="n"/>
    </row>
    <row r="66">
      <c r="A66" s="17" t="inlineStr">
        <is>
          <t>BZ</t>
        </is>
      </c>
      <c r="B66" s="17" t="n"/>
      <c r="C66" s="17" t="n"/>
      <c r="D66" s="17" t="n"/>
      <c r="E66" s="17" t="n"/>
      <c r="F66" s="17" t="n"/>
      <c r="G66" s="17" t="n"/>
    </row>
    <row r="67">
      <c r="A67" s="17" t="inlineStr">
        <is>
          <t>CA</t>
        </is>
      </c>
      <c r="B67" s="17" t="n"/>
      <c r="C67" s="17" t="n"/>
      <c r="D67" s="17" t="n"/>
      <c r="E67" s="17" t="n"/>
      <c r="F67" s="17" t="n"/>
      <c r="G67" s="17" t="n"/>
    </row>
    <row r="68">
      <c r="A68" s="17" t="inlineStr">
        <is>
          <t>CC</t>
        </is>
      </c>
      <c r="B68" s="17" t="n"/>
      <c r="C68" s="17" t="n"/>
      <c r="D68" s="17" t="n"/>
      <c r="E68" s="17" t="n"/>
      <c r="F68" s="17" t="n"/>
      <c r="G68" s="17" t="n"/>
    </row>
    <row r="69">
      <c r="A69" s="17" t="inlineStr">
        <is>
          <t>CD</t>
        </is>
      </c>
      <c r="B69" s="17" t="n"/>
      <c r="C69" s="17" t="n"/>
      <c r="D69" s="17" t="n"/>
      <c r="E69" s="17" t="n"/>
      <c r="F69" s="17" t="n"/>
      <c r="G69" s="17" t="n"/>
    </row>
    <row r="70">
      <c r="A70" s="17" t="inlineStr">
        <is>
          <t>CF</t>
        </is>
      </c>
      <c r="B70" s="17" t="n"/>
      <c r="C70" s="17" t="n"/>
      <c r="D70" s="17" t="n"/>
      <c r="E70" s="17" t="n"/>
      <c r="F70" s="17" t="n"/>
      <c r="G70" s="17" t="n"/>
    </row>
    <row r="71">
      <c r="A71" s="17" t="inlineStr">
        <is>
          <t>CG</t>
        </is>
      </c>
      <c r="B71" s="17" t="n"/>
      <c r="C71" s="17" t="n"/>
      <c r="D71" s="17" t="n"/>
      <c r="E71" s="17" t="n"/>
      <c r="F71" s="17" t="n"/>
      <c r="G71" s="17" t="n"/>
    </row>
    <row r="72">
      <c r="A72" s="17" t="inlineStr">
        <is>
          <t>CH</t>
        </is>
      </c>
      <c r="B72" s="17" t="n"/>
      <c r="C72" s="17" t="n"/>
      <c r="D72" s="17" t="n"/>
      <c r="E72" s="17" t="n"/>
      <c r="F72" s="17" t="n"/>
      <c r="G72" s="17" t="n"/>
    </row>
    <row r="73">
      <c r="A73" s="17" t="inlineStr">
        <is>
          <t>CI</t>
        </is>
      </c>
      <c r="B73" s="17" t="n"/>
      <c r="C73" s="17" t="n"/>
      <c r="D73" s="17" t="n"/>
      <c r="E73" s="17" t="n"/>
      <c r="F73" s="17" t="n"/>
      <c r="G73" s="17" t="n"/>
    </row>
    <row r="74">
      <c r="A74" s="17" t="inlineStr">
        <is>
          <t>CK</t>
        </is>
      </c>
      <c r="B74" s="17" t="n"/>
      <c r="C74" s="17" t="n"/>
      <c r="D74" s="17" t="n"/>
      <c r="E74" s="17" t="n"/>
      <c r="F74" s="17" t="n"/>
      <c r="G74" s="17" t="n"/>
    </row>
    <row r="75">
      <c r="A75" s="17" t="inlineStr">
        <is>
          <t>CL</t>
        </is>
      </c>
      <c r="B75" s="17" t="n"/>
      <c r="C75" s="17" t="n"/>
      <c r="D75" s="17" t="n"/>
      <c r="E75" s="17" t="n"/>
      <c r="F75" s="17" t="n"/>
      <c r="G75" s="17" t="n"/>
    </row>
    <row r="76">
      <c r="A76" s="17" t="inlineStr">
        <is>
          <t>CM</t>
        </is>
      </c>
      <c r="B76" s="17" t="n"/>
      <c r="C76" s="17" t="n"/>
      <c r="D76" s="17" t="n"/>
      <c r="E76" s="17" t="n"/>
      <c r="F76" s="17" t="n"/>
      <c r="G76" s="17" t="n"/>
    </row>
    <row r="77">
      <c r="A77" s="17" t="inlineStr">
        <is>
          <t>CN</t>
        </is>
      </c>
      <c r="B77" s="17" t="n"/>
      <c r="C77" s="17" t="n"/>
      <c r="D77" s="17" t="n"/>
      <c r="E77" s="17" t="n"/>
      <c r="F77" s="17" t="n"/>
      <c r="G77" s="17" t="n"/>
    </row>
    <row r="78">
      <c r="A78" s="17" t="inlineStr">
        <is>
          <t>CO</t>
        </is>
      </c>
      <c r="B78" s="17" t="n"/>
      <c r="C78" s="17" t="n"/>
      <c r="D78" s="17" t="n"/>
      <c r="E78" s="17" t="n"/>
      <c r="F78" s="17" t="n"/>
      <c r="G78" s="17" t="n"/>
    </row>
    <row r="79">
      <c r="A79" s="17" t="inlineStr">
        <is>
          <t>CR</t>
        </is>
      </c>
      <c r="B79" s="17" t="n"/>
      <c r="C79" s="17" t="n"/>
      <c r="D79" s="17" t="n"/>
      <c r="E79" s="17" t="n"/>
      <c r="F79" s="17" t="n"/>
      <c r="G79" s="17" t="n"/>
    </row>
    <row r="80">
      <c r="A80" s="17" t="inlineStr">
        <is>
          <t>CU</t>
        </is>
      </c>
      <c r="B80" s="17" t="n"/>
      <c r="C80" s="17" t="n"/>
      <c r="D80" s="17" t="n"/>
      <c r="E80" s="17" t="n"/>
      <c r="F80" s="17" t="n"/>
      <c r="G80" s="17" t="n"/>
    </row>
    <row r="81">
      <c r="A81" s="17" t="inlineStr">
        <is>
          <t>CV</t>
        </is>
      </c>
      <c r="B81" s="17" t="n"/>
      <c r="C81" s="17" t="n"/>
      <c r="D81" s="17" t="n"/>
      <c r="E81" s="17" t="n"/>
      <c r="F81" s="17" t="n"/>
      <c r="G81" s="17" t="n"/>
    </row>
    <row r="82">
      <c r="A82" s="17" t="inlineStr">
        <is>
          <t>CW</t>
        </is>
      </c>
      <c r="B82" s="17" t="n"/>
      <c r="C82" s="17" t="n"/>
      <c r="D82" s="17" t="n"/>
      <c r="E82" s="17" t="n"/>
      <c r="F82" s="17" t="n"/>
      <c r="G82" s="17" t="n"/>
    </row>
    <row r="83">
      <c r="A83" s="17" t="inlineStr">
        <is>
          <t>CX</t>
        </is>
      </c>
      <c r="B83" s="17" t="n"/>
      <c r="C83" s="17" t="n"/>
      <c r="D83" s="17" t="n"/>
      <c r="E83" s="17" t="n"/>
      <c r="F83" s="17" t="n"/>
      <c r="G83" s="17" t="n"/>
    </row>
    <row r="84">
      <c r="A84" s="17" t="inlineStr">
        <is>
          <t>CY</t>
        </is>
      </c>
      <c r="B84" s="17" t="n"/>
      <c r="C84" s="17" t="n"/>
      <c r="D84" s="17" t="n"/>
      <c r="E84" s="17" t="n"/>
      <c r="F84" s="17" t="n"/>
      <c r="G84" s="17" t="n"/>
    </row>
    <row r="85">
      <c r="A85" s="17" t="inlineStr">
        <is>
          <t>CZ</t>
        </is>
      </c>
      <c r="B85" s="17" t="n"/>
      <c r="C85" s="17" t="n"/>
      <c r="D85" s="17" t="n"/>
      <c r="E85" s="17" t="n"/>
      <c r="F85" s="17" t="n"/>
      <c r="G85" s="17" t="n"/>
    </row>
    <row r="86">
      <c r="A86" s="17" t="inlineStr">
        <is>
          <t>DE</t>
        </is>
      </c>
      <c r="B86" s="17" t="n"/>
      <c r="C86" s="17" t="n"/>
      <c r="D86" s="17" t="n"/>
      <c r="E86" s="17" t="n"/>
      <c r="F86" s="17" t="n"/>
      <c r="G86" s="17" t="n"/>
    </row>
    <row r="87">
      <c r="A87" s="17" t="inlineStr">
        <is>
          <t>DJ</t>
        </is>
      </c>
      <c r="B87" s="17" t="n"/>
      <c r="C87" s="17" t="n"/>
      <c r="D87" s="17" t="n"/>
      <c r="E87" s="17" t="n"/>
      <c r="F87" s="17" t="n"/>
      <c r="G87" s="17" t="n"/>
    </row>
    <row r="88">
      <c r="A88" s="17" t="inlineStr">
        <is>
          <t>DK</t>
        </is>
      </c>
      <c r="B88" s="17" t="n"/>
      <c r="C88" s="17" t="n"/>
      <c r="D88" s="17" t="n"/>
      <c r="E88" s="17" t="n"/>
      <c r="F88" s="17" t="n"/>
      <c r="G88" s="17" t="n"/>
    </row>
    <row r="89">
      <c r="A89" s="17" t="inlineStr">
        <is>
          <t>DM</t>
        </is>
      </c>
      <c r="B89" s="17" t="n"/>
      <c r="C89" s="17" t="n"/>
      <c r="D89" s="17" t="n"/>
      <c r="E89" s="17" t="n"/>
      <c r="F89" s="17" t="n"/>
      <c r="G89" s="17" t="n"/>
    </row>
    <row r="90">
      <c r="A90" s="17" t="inlineStr">
        <is>
          <t>DO</t>
        </is>
      </c>
      <c r="B90" s="17" t="n"/>
      <c r="C90" s="17" t="n"/>
      <c r="D90" s="17" t="n"/>
      <c r="E90" s="17" t="n"/>
      <c r="F90" s="17" t="n"/>
      <c r="G90" s="17" t="n"/>
    </row>
    <row r="91">
      <c r="A91" s="17" t="inlineStr">
        <is>
          <t>DZ</t>
        </is>
      </c>
      <c r="B91" s="17" t="n"/>
      <c r="C91" s="17" t="n"/>
      <c r="D91" s="17" t="n"/>
      <c r="E91" s="17" t="n"/>
      <c r="F91" s="17" t="n"/>
      <c r="G91" s="17" t="n"/>
    </row>
    <row r="92">
      <c r="A92" s="17" t="inlineStr">
        <is>
          <t>EC</t>
        </is>
      </c>
      <c r="B92" s="17" t="n"/>
      <c r="C92" s="17" t="n"/>
      <c r="D92" s="17" t="n"/>
      <c r="E92" s="17" t="n"/>
      <c r="F92" s="17" t="n"/>
      <c r="G92" s="17" t="n"/>
    </row>
    <row r="93">
      <c r="A93" s="17" t="inlineStr">
        <is>
          <t>EE</t>
        </is>
      </c>
      <c r="B93" s="17" t="n"/>
      <c r="C93" s="17" t="n"/>
      <c r="D93" s="17" t="n"/>
      <c r="E93" s="17" t="n"/>
      <c r="F93" s="17" t="n"/>
      <c r="G93" s="17" t="n"/>
    </row>
    <row r="94">
      <c r="A94" s="17" t="inlineStr">
        <is>
          <t>EG</t>
        </is>
      </c>
      <c r="B94" s="17" t="n"/>
      <c r="C94" s="17" t="n"/>
      <c r="D94" s="17" t="n"/>
      <c r="E94" s="17" t="n"/>
      <c r="F94" s="17" t="n"/>
      <c r="G94" s="17" t="n"/>
    </row>
    <row r="95">
      <c r="A95" s="17" t="inlineStr">
        <is>
          <t>EH</t>
        </is>
      </c>
      <c r="B95" s="17" t="n"/>
      <c r="C95" s="17" t="n"/>
      <c r="D95" s="17" t="n"/>
      <c r="E95" s="17" t="n"/>
      <c r="F95" s="17" t="n"/>
      <c r="G95" s="17" t="n"/>
    </row>
    <row r="96">
      <c r="A96" s="17" t="inlineStr">
        <is>
          <t>ER</t>
        </is>
      </c>
      <c r="B96" s="17" t="n"/>
      <c r="C96" s="17" t="n"/>
      <c r="D96" s="17" t="n"/>
      <c r="E96" s="17" t="n"/>
      <c r="F96" s="17" t="n"/>
      <c r="G96" s="17" t="n"/>
    </row>
    <row r="97">
      <c r="A97" s="17" t="inlineStr">
        <is>
          <t>ES</t>
        </is>
      </c>
      <c r="B97" s="17" t="n"/>
      <c r="C97" s="17" t="n"/>
      <c r="D97" s="17" t="n"/>
      <c r="E97" s="17" t="n"/>
      <c r="F97" s="17" t="n"/>
      <c r="G97" s="17" t="n"/>
    </row>
    <row r="98">
      <c r="A98" s="17" t="inlineStr">
        <is>
          <t>ET</t>
        </is>
      </c>
      <c r="B98" s="17" t="n"/>
      <c r="C98" s="17" t="n"/>
      <c r="D98" s="17" t="n"/>
      <c r="E98" s="17" t="n"/>
      <c r="F98" s="17" t="n"/>
      <c r="G98" s="17" t="n"/>
    </row>
    <row r="99">
      <c r="A99" s="17" t="inlineStr">
        <is>
          <t>FI</t>
        </is>
      </c>
      <c r="B99" s="17" t="n"/>
      <c r="C99" s="17" t="n"/>
      <c r="D99" s="17" t="n"/>
      <c r="E99" s="17" t="n"/>
      <c r="F99" s="17" t="n"/>
      <c r="G99" s="17" t="n"/>
    </row>
    <row r="100">
      <c r="A100" s="17" t="inlineStr">
        <is>
          <t>FJ</t>
        </is>
      </c>
      <c r="B100" s="17" t="n"/>
      <c r="C100" s="17" t="n"/>
      <c r="D100" s="17" t="n"/>
      <c r="E100" s="17" t="n"/>
      <c r="F100" s="17" t="n"/>
      <c r="G100" s="17" t="n"/>
    </row>
    <row r="101">
      <c r="A101" s="17" t="inlineStr">
        <is>
          <t>FK</t>
        </is>
      </c>
      <c r="B101" s="17" t="n"/>
      <c r="C101" s="17" t="n"/>
      <c r="D101" s="17" t="n"/>
      <c r="E101" s="17" t="n"/>
      <c r="F101" s="17" t="n"/>
      <c r="G101" s="17" t="n"/>
    </row>
    <row r="102">
      <c r="A102" s="17" t="inlineStr">
        <is>
          <t>FM</t>
        </is>
      </c>
      <c r="B102" s="17" t="n"/>
      <c r="C102" s="17" t="n"/>
      <c r="D102" s="17" t="n"/>
      <c r="E102" s="17" t="n"/>
      <c r="F102" s="17" t="n"/>
      <c r="G102" s="17" t="n"/>
    </row>
    <row r="103">
      <c r="A103" s="17" t="inlineStr">
        <is>
          <t>FO</t>
        </is>
      </c>
      <c r="B103" s="17" t="n"/>
      <c r="C103" s="17" t="n"/>
      <c r="D103" s="17" t="n"/>
      <c r="E103" s="17" t="n"/>
      <c r="F103" s="17" t="n"/>
      <c r="G103" s="17" t="n"/>
    </row>
    <row r="104">
      <c r="A104" s="17" t="inlineStr">
        <is>
          <t>FR</t>
        </is>
      </c>
      <c r="B104" s="17" t="n"/>
      <c r="C104" s="17" t="n"/>
      <c r="D104" s="17" t="n"/>
      <c r="E104" s="17" t="n"/>
      <c r="F104" s="17" t="n"/>
      <c r="G104" s="17" t="n"/>
    </row>
    <row r="105">
      <c r="A105" s="17" t="inlineStr">
        <is>
          <t>GA</t>
        </is>
      </c>
      <c r="B105" s="17" t="n"/>
      <c r="C105" s="17" t="n"/>
      <c r="D105" s="17" t="n"/>
      <c r="E105" s="17" t="n"/>
      <c r="F105" s="17" t="n"/>
      <c r="G105" s="17" t="n"/>
    </row>
    <row r="106">
      <c r="A106" s="17" t="inlineStr">
        <is>
          <t>GB</t>
        </is>
      </c>
      <c r="B106" s="17" t="n"/>
      <c r="C106" s="17" t="n"/>
      <c r="D106" s="17" t="n"/>
      <c r="E106" s="17" t="n"/>
      <c r="F106" s="17" t="n"/>
      <c r="G106" s="17" t="n"/>
    </row>
    <row r="107">
      <c r="A107" s="17" t="inlineStr">
        <is>
          <t>GD</t>
        </is>
      </c>
      <c r="B107" s="17" t="n"/>
      <c r="C107" s="17" t="n"/>
      <c r="D107" s="17" t="n"/>
      <c r="E107" s="17" t="n"/>
      <c r="F107" s="17" t="n"/>
      <c r="G107" s="17" t="n"/>
    </row>
    <row r="108">
      <c r="A108" s="17" t="inlineStr">
        <is>
          <t>GE</t>
        </is>
      </c>
      <c r="B108" s="17" t="n"/>
      <c r="C108" s="17" t="n"/>
      <c r="D108" s="17" t="n"/>
      <c r="E108" s="17" t="n"/>
      <c r="F108" s="17" t="n"/>
      <c r="G108" s="17" t="n"/>
    </row>
    <row r="109">
      <c r="A109" s="17" t="inlineStr">
        <is>
          <t>GF</t>
        </is>
      </c>
      <c r="B109" s="17" t="n"/>
      <c r="C109" s="17" t="n"/>
      <c r="D109" s="17" t="n"/>
      <c r="E109" s="17" t="n"/>
      <c r="F109" s="17" t="n"/>
      <c r="G109" s="17" t="n"/>
    </row>
    <row r="110">
      <c r="A110" s="17" t="inlineStr">
        <is>
          <t>GG</t>
        </is>
      </c>
      <c r="B110" s="17" t="n"/>
      <c r="C110" s="17" t="n"/>
      <c r="D110" s="17" t="n"/>
      <c r="E110" s="17" t="n"/>
      <c r="F110" s="17" t="n"/>
      <c r="G110" s="17" t="n"/>
    </row>
    <row r="111">
      <c r="A111" s="17" t="inlineStr">
        <is>
          <t>GH</t>
        </is>
      </c>
      <c r="B111" s="17" t="n"/>
      <c r="C111" s="17" t="n"/>
      <c r="D111" s="17" t="n"/>
      <c r="E111" s="17" t="n"/>
      <c r="F111" s="17" t="n"/>
      <c r="G111" s="17" t="n"/>
    </row>
    <row r="112">
      <c r="A112" s="17" t="inlineStr">
        <is>
          <t>GI</t>
        </is>
      </c>
      <c r="B112" s="17" t="n"/>
      <c r="C112" s="17" t="n"/>
      <c r="D112" s="17" t="n"/>
      <c r="E112" s="17" t="n"/>
      <c r="F112" s="17" t="n"/>
      <c r="G112" s="17" t="n"/>
    </row>
    <row r="113">
      <c r="A113" s="17" t="inlineStr">
        <is>
          <t>GL</t>
        </is>
      </c>
      <c r="B113" s="17" t="n"/>
      <c r="C113" s="17" t="n"/>
      <c r="D113" s="17" t="n"/>
      <c r="E113" s="17" t="n"/>
      <c r="F113" s="17" t="n"/>
      <c r="G113" s="17" t="n"/>
    </row>
    <row r="114">
      <c r="A114" s="17" t="inlineStr">
        <is>
          <t>GM</t>
        </is>
      </c>
      <c r="B114" s="17" t="n"/>
      <c r="C114" s="17" t="n"/>
      <c r="D114" s="17" t="n"/>
      <c r="E114" s="17" t="n"/>
      <c r="F114" s="17" t="n"/>
      <c r="G114" s="17" t="n"/>
    </row>
    <row r="115">
      <c r="A115" s="17" t="inlineStr">
        <is>
          <t>GN</t>
        </is>
      </c>
      <c r="B115" s="17" t="n"/>
      <c r="C115" s="17" t="n"/>
      <c r="D115" s="17" t="n"/>
      <c r="E115" s="17" t="n"/>
      <c r="F115" s="17" t="n"/>
      <c r="G115" s="17" t="n"/>
    </row>
    <row r="116">
      <c r="A116" s="17" t="inlineStr">
        <is>
          <t>GP</t>
        </is>
      </c>
      <c r="B116" s="17" t="n"/>
      <c r="C116" s="17" t="n"/>
      <c r="D116" s="17" t="n"/>
      <c r="E116" s="17" t="n"/>
      <c r="F116" s="17" t="n"/>
      <c r="G116" s="17" t="n"/>
    </row>
    <row r="117">
      <c r="A117" s="17" t="inlineStr">
        <is>
          <t>GQ</t>
        </is>
      </c>
      <c r="B117" s="17" t="n"/>
      <c r="C117" s="17" t="n"/>
      <c r="D117" s="17" t="n"/>
      <c r="E117" s="17" t="n"/>
      <c r="F117" s="17" t="n"/>
      <c r="G117" s="17" t="n"/>
    </row>
    <row r="118">
      <c r="A118" s="17" t="inlineStr">
        <is>
          <t>GR</t>
        </is>
      </c>
      <c r="B118" s="17" t="n"/>
      <c r="C118" s="17" t="n"/>
      <c r="D118" s="17" t="n"/>
      <c r="E118" s="17" t="n"/>
      <c r="F118" s="17" t="n"/>
      <c r="G118" s="17" t="n"/>
    </row>
    <row r="119">
      <c r="A119" s="17" t="inlineStr">
        <is>
          <t>GS</t>
        </is>
      </c>
      <c r="B119" s="17" t="n"/>
      <c r="C119" s="17" t="n"/>
      <c r="D119" s="17" t="n"/>
      <c r="E119" s="17" t="n"/>
      <c r="F119" s="17" t="n"/>
      <c r="G119" s="17" t="n"/>
    </row>
    <row r="120">
      <c r="A120" s="17" t="inlineStr">
        <is>
          <t>GT</t>
        </is>
      </c>
      <c r="B120" s="17" t="n"/>
      <c r="C120" s="17" t="n"/>
      <c r="D120" s="17" t="n"/>
      <c r="E120" s="17" t="n"/>
      <c r="F120" s="17" t="n"/>
      <c r="G120" s="17" t="n"/>
    </row>
    <row r="121">
      <c r="A121" s="17" t="inlineStr">
        <is>
          <t>GU</t>
        </is>
      </c>
      <c r="B121" s="17" t="n"/>
      <c r="C121" s="17" t="n"/>
      <c r="D121" s="17" t="n"/>
      <c r="E121" s="17" t="n"/>
      <c r="F121" s="17" t="n"/>
      <c r="G121" s="17" t="n"/>
    </row>
    <row r="122">
      <c r="A122" s="17" t="inlineStr">
        <is>
          <t>GW</t>
        </is>
      </c>
      <c r="B122" s="17" t="n"/>
      <c r="C122" s="17" t="n"/>
      <c r="D122" s="17" t="n"/>
      <c r="E122" s="17" t="n"/>
      <c r="F122" s="17" t="n"/>
      <c r="G122" s="17" t="n"/>
    </row>
    <row r="123">
      <c r="A123" s="17" t="inlineStr">
        <is>
          <t>GY</t>
        </is>
      </c>
      <c r="B123" s="17" t="n"/>
      <c r="C123" s="17" t="n"/>
      <c r="D123" s="17" t="n"/>
      <c r="E123" s="17" t="n"/>
      <c r="F123" s="17" t="n"/>
      <c r="G123" s="17" t="n"/>
    </row>
    <row r="124">
      <c r="A124" s="17" t="inlineStr">
        <is>
          <t>HK</t>
        </is>
      </c>
      <c r="B124" s="17" t="n"/>
      <c r="C124" s="17" t="n"/>
      <c r="D124" s="17" t="n"/>
      <c r="E124" s="17" t="n"/>
      <c r="F124" s="17" t="n"/>
      <c r="G124" s="17" t="n"/>
    </row>
    <row r="125">
      <c r="A125" s="17" t="inlineStr">
        <is>
          <t>HM</t>
        </is>
      </c>
      <c r="B125" s="17" t="n"/>
      <c r="C125" s="17" t="n"/>
      <c r="D125" s="17" t="n"/>
      <c r="E125" s="17" t="n"/>
      <c r="F125" s="17" t="n"/>
      <c r="G125" s="17" t="n"/>
    </row>
    <row r="126">
      <c r="A126" s="17" t="inlineStr">
        <is>
          <t>HN</t>
        </is>
      </c>
      <c r="B126" s="17" t="n"/>
      <c r="C126" s="17" t="n"/>
      <c r="D126" s="17" t="n"/>
      <c r="E126" s="17" t="n"/>
      <c r="F126" s="17" t="n"/>
      <c r="G126" s="17" t="n"/>
    </row>
    <row r="127">
      <c r="A127" s="17" t="inlineStr">
        <is>
          <t>HR</t>
        </is>
      </c>
      <c r="B127" s="17" t="n"/>
      <c r="C127" s="17" t="n"/>
      <c r="D127" s="17" t="n"/>
      <c r="E127" s="17" t="n"/>
      <c r="F127" s="17" t="n"/>
      <c r="G127" s="17" t="n"/>
    </row>
    <row r="128">
      <c r="A128" s="17" t="inlineStr">
        <is>
          <t>HT</t>
        </is>
      </c>
      <c r="B128" s="17" t="n"/>
      <c r="C128" s="17" t="n"/>
      <c r="D128" s="17" t="n"/>
      <c r="E128" s="17" t="n"/>
      <c r="F128" s="17" t="n"/>
      <c r="G128" s="17" t="n"/>
    </row>
    <row r="129">
      <c r="A129" s="17" t="inlineStr">
        <is>
          <t>HU</t>
        </is>
      </c>
      <c r="B129" s="17" t="n"/>
      <c r="C129" s="17" t="n"/>
      <c r="D129" s="17" t="n"/>
      <c r="E129" s="17" t="n"/>
      <c r="F129" s="17" t="n"/>
      <c r="G129" s="17" t="n"/>
    </row>
    <row r="130">
      <c r="A130" s="17" t="inlineStr">
        <is>
          <t>ID</t>
        </is>
      </c>
      <c r="B130" s="17" t="n"/>
      <c r="C130" s="17" t="n"/>
      <c r="D130" s="17" t="n"/>
      <c r="E130" s="17" t="n"/>
      <c r="F130" s="17" t="n"/>
      <c r="G130" s="17" t="n"/>
    </row>
    <row r="131">
      <c r="A131" s="17" t="inlineStr">
        <is>
          <t>IE</t>
        </is>
      </c>
      <c r="B131" s="17" t="n"/>
      <c r="C131" s="17" t="n"/>
      <c r="D131" s="17" t="n"/>
      <c r="E131" s="17" t="n"/>
      <c r="F131" s="17" t="n"/>
      <c r="G131" s="17" t="n"/>
    </row>
    <row r="132">
      <c r="A132" s="17" t="inlineStr">
        <is>
          <t>IL</t>
        </is>
      </c>
      <c r="B132" s="17" t="n"/>
      <c r="C132" s="17" t="n"/>
      <c r="D132" s="17" t="n"/>
      <c r="E132" s="17" t="n"/>
      <c r="F132" s="17" t="n"/>
      <c r="G132" s="17" t="n"/>
    </row>
    <row r="133">
      <c r="A133" s="17" t="inlineStr">
        <is>
          <t>IM</t>
        </is>
      </c>
      <c r="B133" s="17" t="n"/>
      <c r="C133" s="17" t="n"/>
      <c r="D133" s="17" t="n"/>
      <c r="E133" s="17" t="n"/>
      <c r="F133" s="17" t="n"/>
      <c r="G133" s="17" t="n"/>
    </row>
    <row r="134">
      <c r="A134" s="17" t="inlineStr">
        <is>
          <t>IN</t>
        </is>
      </c>
      <c r="B134" s="17" t="n"/>
      <c r="C134" s="17" t="n"/>
      <c r="D134" s="17" t="n"/>
      <c r="E134" s="17" t="n"/>
      <c r="F134" s="17" t="n"/>
      <c r="G134" s="17" t="n"/>
    </row>
    <row r="135">
      <c r="A135" s="17" t="inlineStr">
        <is>
          <t>IO</t>
        </is>
      </c>
      <c r="B135" s="17" t="n"/>
      <c r="C135" s="17" t="n"/>
      <c r="D135" s="17" t="n"/>
      <c r="E135" s="17" t="n"/>
      <c r="F135" s="17" t="n"/>
      <c r="G135" s="17" t="n"/>
    </row>
    <row r="136">
      <c r="A136" s="17" t="inlineStr">
        <is>
          <t>IQ</t>
        </is>
      </c>
      <c r="B136" s="17" t="n"/>
      <c r="C136" s="17" t="n"/>
      <c r="D136" s="17" t="n"/>
      <c r="E136" s="17" t="n"/>
      <c r="F136" s="17" t="n"/>
      <c r="G136" s="17" t="n"/>
    </row>
    <row r="137">
      <c r="A137" s="17" t="inlineStr">
        <is>
          <t>IR</t>
        </is>
      </c>
      <c r="B137" s="17" t="n"/>
      <c r="C137" s="17" t="n"/>
      <c r="D137" s="17" t="n"/>
      <c r="E137" s="17" t="n"/>
      <c r="F137" s="17" t="n"/>
      <c r="G137" s="17" t="n"/>
    </row>
    <row r="138">
      <c r="A138" s="17" t="inlineStr">
        <is>
          <t>IS</t>
        </is>
      </c>
      <c r="B138" s="17" t="n"/>
      <c r="C138" s="17" t="n"/>
      <c r="D138" s="17" t="n"/>
      <c r="E138" s="17" t="n"/>
      <c r="F138" s="17" t="n"/>
      <c r="G138" s="17" t="n"/>
    </row>
    <row r="139">
      <c r="A139" s="17" t="inlineStr">
        <is>
          <t>IT</t>
        </is>
      </c>
      <c r="B139" s="17" t="n"/>
      <c r="C139" s="17" t="n"/>
      <c r="D139" s="17" t="n"/>
      <c r="E139" s="17" t="n"/>
      <c r="F139" s="17" t="n"/>
      <c r="G139" s="17" t="n"/>
    </row>
    <row r="140">
      <c r="A140" s="17" t="inlineStr">
        <is>
          <t>JE</t>
        </is>
      </c>
      <c r="B140" s="17" t="n"/>
      <c r="C140" s="17" t="n"/>
      <c r="D140" s="17" t="n"/>
      <c r="E140" s="17" t="n"/>
      <c r="F140" s="17" t="n"/>
      <c r="G140" s="17" t="n"/>
    </row>
    <row r="141">
      <c r="A141" s="17" t="inlineStr">
        <is>
          <t>JM</t>
        </is>
      </c>
      <c r="B141" s="17" t="n"/>
      <c r="C141" s="17" t="n"/>
      <c r="D141" s="17" t="n"/>
      <c r="E141" s="17" t="n"/>
      <c r="F141" s="17" t="n"/>
      <c r="G141" s="17" t="n"/>
    </row>
    <row r="142">
      <c r="A142" s="17" t="inlineStr">
        <is>
          <t>JO</t>
        </is>
      </c>
      <c r="B142" s="17" t="n"/>
      <c r="C142" s="17" t="n"/>
      <c r="D142" s="17" t="n"/>
      <c r="E142" s="17" t="n"/>
      <c r="F142" s="17" t="n"/>
      <c r="G142" s="17" t="n"/>
    </row>
    <row r="143">
      <c r="A143" s="17" t="inlineStr">
        <is>
          <t>JP</t>
        </is>
      </c>
      <c r="B143" s="17" t="n"/>
      <c r="C143" s="17" t="n"/>
      <c r="D143" s="17" t="n"/>
      <c r="E143" s="17" t="n"/>
      <c r="F143" s="17" t="n"/>
      <c r="G143" s="17" t="n"/>
    </row>
    <row r="144">
      <c r="A144" s="17" t="inlineStr">
        <is>
          <t>KE</t>
        </is>
      </c>
      <c r="B144" s="17" t="n"/>
      <c r="C144" s="17" t="n"/>
      <c r="D144" s="17" t="n"/>
      <c r="E144" s="17" t="n"/>
      <c r="F144" s="17" t="n"/>
      <c r="G144" s="17" t="n"/>
    </row>
    <row r="145">
      <c r="A145" s="17" t="inlineStr">
        <is>
          <t>KG</t>
        </is>
      </c>
      <c r="B145" s="17" t="n"/>
      <c r="C145" s="17" t="n"/>
      <c r="D145" s="17" t="n"/>
      <c r="E145" s="17" t="n"/>
      <c r="F145" s="17" t="n"/>
      <c r="G145" s="17" t="n"/>
    </row>
    <row r="146">
      <c r="A146" s="17" t="inlineStr">
        <is>
          <t>KH</t>
        </is>
      </c>
      <c r="B146" s="17" t="n"/>
      <c r="C146" s="17" t="n"/>
      <c r="D146" s="17" t="n"/>
      <c r="E146" s="17" t="n"/>
      <c r="F146" s="17" t="n"/>
      <c r="G146" s="17" t="n"/>
    </row>
    <row r="147">
      <c r="A147" s="17" t="inlineStr">
        <is>
          <t>KI</t>
        </is>
      </c>
      <c r="B147" s="17" t="n"/>
      <c r="C147" s="17" t="n"/>
      <c r="D147" s="17" t="n"/>
      <c r="E147" s="17" t="n"/>
      <c r="F147" s="17" t="n"/>
      <c r="G147" s="17" t="n"/>
    </row>
    <row r="148">
      <c r="A148" s="17" t="inlineStr">
        <is>
          <t>KM</t>
        </is>
      </c>
      <c r="B148" s="17" t="n"/>
      <c r="C148" s="17" t="n"/>
      <c r="D148" s="17" t="n"/>
      <c r="E148" s="17" t="n"/>
      <c r="F148" s="17" t="n"/>
      <c r="G148" s="17" t="n"/>
    </row>
    <row r="149">
      <c r="A149" s="17" t="inlineStr">
        <is>
          <t>KN</t>
        </is>
      </c>
      <c r="B149" s="17" t="n"/>
      <c r="C149" s="17" t="n"/>
      <c r="D149" s="17" t="n"/>
      <c r="E149" s="17" t="n"/>
      <c r="F149" s="17" t="n"/>
      <c r="G149" s="17" t="n"/>
    </row>
    <row r="150">
      <c r="A150" s="17" t="inlineStr">
        <is>
          <t>KP</t>
        </is>
      </c>
      <c r="B150" s="17" t="n"/>
      <c r="C150" s="17" t="n"/>
      <c r="D150" s="17" t="n"/>
      <c r="E150" s="17" t="n"/>
      <c r="F150" s="17" t="n"/>
      <c r="G150" s="17" t="n"/>
    </row>
    <row r="151">
      <c r="A151" s="17" t="inlineStr">
        <is>
          <t>KR</t>
        </is>
      </c>
      <c r="B151" s="17" t="n"/>
      <c r="C151" s="17" t="n"/>
      <c r="D151" s="17" t="n"/>
      <c r="E151" s="17" t="n"/>
      <c r="F151" s="17" t="n"/>
      <c r="G151" s="17" t="n"/>
    </row>
    <row r="152">
      <c r="A152" s="17" t="inlineStr">
        <is>
          <t>KW</t>
        </is>
      </c>
      <c r="B152" s="17" t="n"/>
      <c r="C152" s="17" t="n"/>
      <c r="D152" s="17" t="n"/>
      <c r="E152" s="17" t="n"/>
      <c r="F152" s="17" t="n"/>
      <c r="G152" s="17" t="n"/>
    </row>
    <row r="153">
      <c r="A153" s="17" t="inlineStr">
        <is>
          <t>KY</t>
        </is>
      </c>
      <c r="B153" s="17" t="n"/>
      <c r="C153" s="17" t="n"/>
      <c r="D153" s="17" t="n"/>
      <c r="E153" s="17" t="n"/>
      <c r="F153" s="17" t="n"/>
      <c r="G153" s="17" t="n"/>
    </row>
    <row r="154">
      <c r="A154" s="17" t="inlineStr">
        <is>
          <t>KZ</t>
        </is>
      </c>
      <c r="B154" s="17" t="n"/>
      <c r="C154" s="17" t="n"/>
      <c r="D154" s="17" t="n"/>
      <c r="E154" s="17" t="n"/>
      <c r="F154" s="17" t="n"/>
      <c r="G154" s="17" t="n"/>
    </row>
    <row r="155">
      <c r="A155" s="17" t="inlineStr">
        <is>
          <t>LA</t>
        </is>
      </c>
      <c r="B155" s="17" t="n"/>
      <c r="C155" s="17" t="n"/>
      <c r="D155" s="17" t="n"/>
      <c r="E155" s="17" t="n"/>
      <c r="F155" s="17" t="n"/>
      <c r="G155" s="17" t="n"/>
    </row>
    <row r="156">
      <c r="A156" s="17" t="inlineStr">
        <is>
          <t>LB</t>
        </is>
      </c>
      <c r="B156" s="17" t="n"/>
      <c r="C156" s="17" t="n"/>
      <c r="D156" s="17" t="n"/>
      <c r="E156" s="17" t="n"/>
      <c r="F156" s="17" t="n"/>
      <c r="G156" s="17" t="n"/>
    </row>
    <row r="157">
      <c r="A157" s="17" t="inlineStr">
        <is>
          <t>LC</t>
        </is>
      </c>
      <c r="B157" s="17" t="n"/>
      <c r="C157" s="17" t="n"/>
      <c r="D157" s="17" t="n"/>
      <c r="E157" s="17" t="n"/>
      <c r="F157" s="17" t="n"/>
      <c r="G157" s="17" t="n"/>
    </row>
    <row r="158">
      <c r="A158" s="17" t="inlineStr">
        <is>
          <t>LI</t>
        </is>
      </c>
      <c r="B158" s="17" t="n"/>
      <c r="C158" s="17" t="n"/>
      <c r="D158" s="17" t="n"/>
      <c r="E158" s="17" t="n"/>
      <c r="F158" s="17" t="n"/>
      <c r="G158" s="17" t="n"/>
    </row>
    <row r="159">
      <c r="A159" s="17" t="inlineStr">
        <is>
          <t>LK</t>
        </is>
      </c>
      <c r="B159" s="17" t="n"/>
      <c r="C159" s="17" t="n"/>
      <c r="D159" s="17" t="n"/>
      <c r="E159" s="17" t="n"/>
      <c r="F159" s="17" t="n"/>
      <c r="G159" s="17" t="n"/>
    </row>
    <row r="160">
      <c r="A160" s="17" t="inlineStr">
        <is>
          <t>LR</t>
        </is>
      </c>
      <c r="B160" s="17" t="n"/>
      <c r="C160" s="17" t="n"/>
      <c r="D160" s="17" t="n"/>
      <c r="E160" s="17" t="n"/>
      <c r="F160" s="17" t="n"/>
      <c r="G160" s="17" t="n"/>
    </row>
    <row r="161">
      <c r="A161" s="17" t="inlineStr">
        <is>
          <t>LS</t>
        </is>
      </c>
      <c r="B161" s="17" t="n"/>
      <c r="C161" s="17" t="n"/>
      <c r="D161" s="17" t="n"/>
      <c r="E161" s="17" t="n"/>
      <c r="F161" s="17" t="n"/>
      <c r="G161" s="17" t="n"/>
    </row>
    <row r="162">
      <c r="A162" s="17" t="inlineStr">
        <is>
          <t>LT</t>
        </is>
      </c>
      <c r="B162" s="17" t="n"/>
      <c r="C162" s="17" t="n"/>
      <c r="D162" s="17" t="n"/>
      <c r="E162" s="17" t="n"/>
      <c r="F162" s="17" t="n"/>
      <c r="G162" s="17" t="n"/>
    </row>
    <row r="163">
      <c r="A163" s="17" t="inlineStr">
        <is>
          <t>LU</t>
        </is>
      </c>
      <c r="B163" s="17" t="n"/>
      <c r="C163" s="17" t="n"/>
      <c r="D163" s="17" t="n"/>
      <c r="E163" s="17" t="n"/>
      <c r="F163" s="17" t="n"/>
      <c r="G163" s="17" t="n"/>
    </row>
    <row r="164">
      <c r="A164" s="17" t="inlineStr">
        <is>
          <t>LV</t>
        </is>
      </c>
      <c r="B164" s="17" t="n"/>
      <c r="C164" s="17" t="n"/>
      <c r="D164" s="17" t="n"/>
      <c r="E164" s="17" t="n"/>
      <c r="F164" s="17" t="n"/>
      <c r="G164" s="17" t="n"/>
    </row>
    <row r="165">
      <c r="A165" s="17" t="inlineStr">
        <is>
          <t>LY</t>
        </is>
      </c>
      <c r="B165" s="17" t="n"/>
      <c r="C165" s="17" t="n"/>
      <c r="D165" s="17" t="n"/>
      <c r="E165" s="17" t="n"/>
      <c r="F165" s="17" t="n"/>
      <c r="G165" s="17" t="n"/>
    </row>
    <row r="166">
      <c r="A166" s="17" t="inlineStr">
        <is>
          <t>MA</t>
        </is>
      </c>
      <c r="B166" s="17" t="n"/>
      <c r="C166" s="17" t="n"/>
      <c r="D166" s="17" t="n"/>
      <c r="E166" s="17" t="n"/>
      <c r="F166" s="17" t="n"/>
      <c r="G166" s="17" t="n"/>
    </row>
    <row r="167">
      <c r="A167" s="17" t="inlineStr">
        <is>
          <t>MC</t>
        </is>
      </c>
      <c r="B167" s="17" t="n"/>
      <c r="C167" s="17" t="n"/>
      <c r="D167" s="17" t="n"/>
      <c r="E167" s="17" t="n"/>
      <c r="F167" s="17" t="n"/>
      <c r="G167" s="17" t="n"/>
    </row>
    <row r="168">
      <c r="A168" s="17" t="inlineStr">
        <is>
          <t>MD</t>
        </is>
      </c>
      <c r="B168" s="17" t="n"/>
      <c r="C168" s="17" t="n"/>
      <c r="D168" s="17" t="n"/>
      <c r="E168" s="17" t="n"/>
      <c r="F168" s="17" t="n"/>
      <c r="G168" s="17" t="n"/>
    </row>
    <row r="169">
      <c r="A169" s="17" t="inlineStr">
        <is>
          <t>ME</t>
        </is>
      </c>
      <c r="B169" s="17" t="n"/>
      <c r="C169" s="17" t="n"/>
      <c r="D169" s="17" t="n"/>
      <c r="E169" s="17" t="n"/>
      <c r="F169" s="17" t="n"/>
      <c r="G169" s="17" t="n"/>
    </row>
    <row r="170">
      <c r="A170" s="17" t="inlineStr">
        <is>
          <t>MF</t>
        </is>
      </c>
      <c r="B170" s="17" t="n"/>
      <c r="C170" s="17" t="n"/>
      <c r="D170" s="17" t="n"/>
      <c r="E170" s="17" t="n"/>
      <c r="F170" s="17" t="n"/>
      <c r="G170" s="17" t="n"/>
    </row>
    <row r="171">
      <c r="A171" s="17" t="inlineStr">
        <is>
          <t>MG</t>
        </is>
      </c>
      <c r="B171" s="17" t="n"/>
      <c r="C171" s="17" t="n"/>
      <c r="D171" s="17" t="n"/>
      <c r="E171" s="17" t="n"/>
      <c r="F171" s="17" t="n"/>
      <c r="G171" s="17" t="n"/>
    </row>
    <row r="172">
      <c r="A172" s="17" t="inlineStr">
        <is>
          <t>MH</t>
        </is>
      </c>
      <c r="B172" s="17" t="n"/>
      <c r="C172" s="17" t="n"/>
      <c r="D172" s="17" t="n"/>
      <c r="E172" s="17" t="n"/>
      <c r="F172" s="17" t="n"/>
      <c r="G172" s="17" t="n"/>
    </row>
    <row r="173">
      <c r="A173" s="17" t="inlineStr">
        <is>
          <t>MK</t>
        </is>
      </c>
      <c r="B173" s="17" t="n"/>
      <c r="C173" s="17" t="n"/>
      <c r="D173" s="17" t="n"/>
      <c r="E173" s="17" t="n"/>
      <c r="F173" s="17" t="n"/>
      <c r="G173" s="17" t="n"/>
    </row>
    <row r="174">
      <c r="A174" s="17" t="inlineStr">
        <is>
          <t>ML</t>
        </is>
      </c>
      <c r="B174" s="17" t="n"/>
      <c r="C174" s="17" t="n"/>
      <c r="D174" s="17" t="n"/>
      <c r="E174" s="17" t="n"/>
      <c r="F174" s="17" t="n"/>
      <c r="G174" s="17" t="n"/>
    </row>
    <row r="175">
      <c r="A175" s="17" t="inlineStr">
        <is>
          <t>MM</t>
        </is>
      </c>
      <c r="B175" s="17" t="n"/>
      <c r="C175" s="17" t="n"/>
      <c r="D175" s="17" t="n"/>
      <c r="E175" s="17" t="n"/>
      <c r="F175" s="17" t="n"/>
      <c r="G175" s="17" t="n"/>
    </row>
    <row r="176">
      <c r="A176" s="17" t="inlineStr">
        <is>
          <t>MN</t>
        </is>
      </c>
      <c r="B176" s="17" t="n"/>
      <c r="C176" s="17" t="n"/>
      <c r="D176" s="17" t="n"/>
      <c r="E176" s="17" t="n"/>
      <c r="F176" s="17" t="n"/>
      <c r="G176" s="17" t="n"/>
    </row>
    <row r="177">
      <c r="A177" s="17" t="inlineStr">
        <is>
          <t>MO</t>
        </is>
      </c>
      <c r="B177" s="17" t="n"/>
      <c r="C177" s="17" t="n"/>
      <c r="D177" s="17" t="n"/>
      <c r="E177" s="17" t="n"/>
      <c r="F177" s="17" t="n"/>
      <c r="G177" s="17" t="n"/>
    </row>
    <row r="178">
      <c r="A178" s="17" t="inlineStr">
        <is>
          <t>MP</t>
        </is>
      </c>
      <c r="B178" s="17" t="n"/>
      <c r="C178" s="17" t="n"/>
      <c r="D178" s="17" t="n"/>
      <c r="E178" s="17" t="n"/>
      <c r="F178" s="17" t="n"/>
      <c r="G178" s="17" t="n"/>
    </row>
    <row r="179">
      <c r="A179" s="17" t="inlineStr">
        <is>
          <t>MQ</t>
        </is>
      </c>
      <c r="B179" s="17" t="n"/>
      <c r="C179" s="17" t="n"/>
      <c r="D179" s="17" t="n"/>
      <c r="E179" s="17" t="n"/>
      <c r="F179" s="17" t="n"/>
      <c r="G179" s="17" t="n"/>
    </row>
    <row r="180">
      <c r="A180" s="17" t="inlineStr">
        <is>
          <t>MR</t>
        </is>
      </c>
      <c r="B180" s="17" t="n"/>
      <c r="C180" s="17" t="n"/>
      <c r="D180" s="17" t="n"/>
      <c r="E180" s="17" t="n"/>
      <c r="F180" s="17" t="n"/>
      <c r="G180" s="17" t="n"/>
    </row>
    <row r="181">
      <c r="A181" s="17" t="inlineStr">
        <is>
          <t>MS</t>
        </is>
      </c>
      <c r="B181" s="17" t="n"/>
      <c r="C181" s="17" t="n"/>
      <c r="D181" s="17" t="n"/>
      <c r="E181" s="17" t="n"/>
      <c r="F181" s="17" t="n"/>
      <c r="G181" s="17" t="n"/>
    </row>
    <row r="182">
      <c r="A182" s="17" t="inlineStr">
        <is>
          <t>MT</t>
        </is>
      </c>
      <c r="B182" s="17" t="n"/>
      <c r="C182" s="17" t="n"/>
      <c r="D182" s="17" t="n"/>
      <c r="E182" s="17" t="n"/>
      <c r="F182" s="17" t="n"/>
      <c r="G182" s="17" t="n"/>
    </row>
    <row r="183">
      <c r="A183" s="17" t="inlineStr">
        <is>
          <t>MU</t>
        </is>
      </c>
      <c r="B183" s="17" t="n"/>
      <c r="C183" s="17" t="n"/>
      <c r="D183" s="17" t="n"/>
      <c r="E183" s="17" t="n"/>
      <c r="F183" s="17" t="n"/>
      <c r="G183" s="17" t="n"/>
    </row>
    <row r="184">
      <c r="A184" s="17" t="inlineStr">
        <is>
          <t>MV</t>
        </is>
      </c>
      <c r="B184" s="17" t="n"/>
      <c r="C184" s="17" t="n"/>
      <c r="D184" s="17" t="n"/>
      <c r="E184" s="17" t="n"/>
      <c r="F184" s="17" t="n"/>
      <c r="G184" s="17" t="n"/>
    </row>
    <row r="185">
      <c r="A185" s="17" t="inlineStr">
        <is>
          <t>MW</t>
        </is>
      </c>
      <c r="B185" s="17" t="n"/>
      <c r="C185" s="17" t="n"/>
      <c r="D185" s="17" t="n"/>
      <c r="E185" s="17" t="n"/>
      <c r="F185" s="17" t="n"/>
      <c r="G185" s="17" t="n"/>
    </row>
    <row r="186">
      <c r="A186" s="17" t="inlineStr">
        <is>
          <t>MX</t>
        </is>
      </c>
      <c r="B186" s="17" t="n"/>
      <c r="C186" s="17" t="n"/>
      <c r="D186" s="17" t="n"/>
      <c r="E186" s="17" t="n"/>
      <c r="F186" s="17" t="n"/>
      <c r="G186" s="17" t="n"/>
    </row>
    <row r="187">
      <c r="A187" s="17" t="inlineStr">
        <is>
          <t>MY</t>
        </is>
      </c>
      <c r="B187" s="17" t="n"/>
      <c r="C187" s="17" t="n"/>
      <c r="D187" s="17" t="n"/>
      <c r="E187" s="17" t="n"/>
      <c r="F187" s="17" t="n"/>
      <c r="G187" s="17" t="n"/>
    </row>
    <row r="188">
      <c r="A188" s="17" t="inlineStr">
        <is>
          <t>MZ</t>
        </is>
      </c>
      <c r="B188" s="17" t="n"/>
      <c r="C188" s="17" t="n"/>
      <c r="D188" s="17" t="n"/>
      <c r="E188" s="17" t="n"/>
      <c r="F188" s="17" t="n"/>
      <c r="G188" s="17" t="n"/>
    </row>
    <row r="189">
      <c r="A189" s="17" t="inlineStr">
        <is>
          <t>NA</t>
        </is>
      </c>
      <c r="B189" s="17" t="n"/>
      <c r="C189" s="17" t="n"/>
      <c r="D189" s="17" t="n"/>
      <c r="E189" s="17" t="n"/>
      <c r="F189" s="17" t="n"/>
      <c r="G189" s="17" t="n"/>
    </row>
    <row r="190">
      <c r="A190" s="17" t="inlineStr">
        <is>
          <t>NC</t>
        </is>
      </c>
      <c r="B190" s="17" t="n"/>
      <c r="C190" s="17" t="n"/>
      <c r="D190" s="17" t="n"/>
      <c r="E190" s="17" t="n"/>
      <c r="F190" s="17" t="n"/>
      <c r="G190" s="17" t="n"/>
    </row>
    <row r="191">
      <c r="A191" s="17" t="inlineStr">
        <is>
          <t>NE</t>
        </is>
      </c>
      <c r="B191" s="17" t="n"/>
      <c r="C191" s="17" t="n"/>
      <c r="D191" s="17" t="n"/>
      <c r="E191" s="17" t="n"/>
      <c r="F191" s="17" t="n"/>
      <c r="G191" s="17" t="n"/>
    </row>
    <row r="192">
      <c r="A192" s="17" t="inlineStr">
        <is>
          <t>NF</t>
        </is>
      </c>
      <c r="B192" s="17" t="n"/>
      <c r="C192" s="17" t="n"/>
      <c r="D192" s="17" t="n"/>
      <c r="E192" s="17" t="n"/>
      <c r="F192" s="17" t="n"/>
      <c r="G192" s="17" t="n"/>
    </row>
    <row r="193">
      <c r="A193" s="17" t="inlineStr">
        <is>
          <t>NG</t>
        </is>
      </c>
      <c r="B193" s="17" t="n"/>
      <c r="C193" s="17" t="n"/>
      <c r="D193" s="17" t="n"/>
      <c r="E193" s="17" t="n"/>
      <c r="F193" s="17" t="n"/>
      <c r="G193" s="17" t="n"/>
    </row>
    <row r="194">
      <c r="A194" s="17" t="inlineStr">
        <is>
          <t>NI</t>
        </is>
      </c>
      <c r="B194" s="17" t="n"/>
      <c r="C194" s="17" t="n"/>
      <c r="D194" s="17" t="n"/>
      <c r="E194" s="17" t="n"/>
      <c r="F194" s="17" t="n"/>
      <c r="G194" s="17" t="n"/>
    </row>
    <row r="195">
      <c r="A195" s="17" t="inlineStr">
        <is>
          <t>NL</t>
        </is>
      </c>
      <c r="B195" s="17" t="n"/>
      <c r="C195" s="17" t="n"/>
      <c r="D195" s="17" t="n"/>
      <c r="E195" s="17" t="n"/>
      <c r="F195" s="17" t="n"/>
      <c r="G195" s="17" t="n"/>
    </row>
    <row r="196">
      <c r="A196" s="17" t="inlineStr">
        <is>
          <t>NO</t>
        </is>
      </c>
      <c r="B196" s="17" t="n"/>
      <c r="C196" s="17" t="n"/>
      <c r="D196" s="17" t="n"/>
      <c r="E196" s="17" t="n"/>
      <c r="F196" s="17" t="n"/>
      <c r="G196" s="17" t="n"/>
    </row>
    <row r="197">
      <c r="A197" s="17" t="inlineStr">
        <is>
          <t>NP</t>
        </is>
      </c>
      <c r="B197" s="17" t="n"/>
      <c r="C197" s="17" t="n"/>
      <c r="D197" s="17" t="n"/>
      <c r="E197" s="17" t="n"/>
      <c r="F197" s="17" t="n"/>
      <c r="G197" s="17" t="n"/>
    </row>
    <row r="198">
      <c r="A198" s="17" t="inlineStr">
        <is>
          <t>NR</t>
        </is>
      </c>
      <c r="B198" s="17" t="n"/>
      <c r="C198" s="17" t="n"/>
      <c r="D198" s="17" t="n"/>
      <c r="E198" s="17" t="n"/>
      <c r="F198" s="17" t="n"/>
      <c r="G198" s="17" t="n"/>
    </row>
    <row r="199">
      <c r="A199" s="17" t="inlineStr">
        <is>
          <t>NU</t>
        </is>
      </c>
      <c r="B199" s="17" t="n"/>
      <c r="C199" s="17" t="n"/>
      <c r="D199" s="17" t="n"/>
      <c r="E199" s="17" t="n"/>
      <c r="F199" s="17" t="n"/>
      <c r="G199" s="17" t="n"/>
    </row>
    <row r="200">
      <c r="A200" s="17" t="inlineStr">
        <is>
          <t>NZ</t>
        </is>
      </c>
      <c r="B200" s="17" t="n"/>
      <c r="C200" s="17" t="n"/>
      <c r="D200" s="17" t="n"/>
      <c r="E200" s="17" t="n"/>
      <c r="F200" s="17" t="n"/>
      <c r="G200" s="17" t="n"/>
    </row>
    <row r="201">
      <c r="A201" s="17" t="inlineStr">
        <is>
          <t>OM</t>
        </is>
      </c>
      <c r="B201" s="17" t="n"/>
      <c r="C201" s="17" t="n"/>
      <c r="D201" s="17" t="n"/>
      <c r="E201" s="17" t="n"/>
      <c r="F201" s="17" t="n"/>
      <c r="G201" s="17" t="n"/>
    </row>
    <row r="202">
      <c r="A202" s="17" t="inlineStr">
        <is>
          <t>PA</t>
        </is>
      </c>
      <c r="B202" s="17" t="n"/>
      <c r="C202" s="17" t="n"/>
      <c r="D202" s="17" t="n"/>
      <c r="E202" s="17" t="n"/>
      <c r="F202" s="17" t="n"/>
      <c r="G202" s="17" t="n"/>
    </row>
    <row r="203">
      <c r="A203" s="17" t="inlineStr">
        <is>
          <t>PE</t>
        </is>
      </c>
      <c r="B203" s="17" t="n"/>
      <c r="C203" s="17" t="n"/>
      <c r="D203" s="17" t="n"/>
      <c r="E203" s="17" t="n"/>
      <c r="F203" s="17" t="n"/>
      <c r="G203" s="17" t="n"/>
    </row>
    <row r="204">
      <c r="A204" s="17" t="inlineStr">
        <is>
          <t>PF</t>
        </is>
      </c>
      <c r="B204" s="17" t="n"/>
      <c r="C204" s="17" t="n"/>
      <c r="D204" s="17" t="n"/>
      <c r="E204" s="17" t="n"/>
      <c r="F204" s="17" t="n"/>
      <c r="G204" s="17" t="n"/>
    </row>
    <row r="205">
      <c r="A205" s="17" t="inlineStr">
        <is>
          <t>PG</t>
        </is>
      </c>
      <c r="B205" s="17" t="n"/>
      <c r="C205" s="17" t="n"/>
      <c r="D205" s="17" t="n"/>
      <c r="E205" s="17" t="n"/>
      <c r="F205" s="17" t="n"/>
      <c r="G205" s="17" t="n"/>
    </row>
    <row r="206">
      <c r="A206" s="17" t="inlineStr">
        <is>
          <t>PH</t>
        </is>
      </c>
      <c r="B206" s="17" t="n"/>
      <c r="C206" s="17" t="n"/>
      <c r="D206" s="17" t="n"/>
      <c r="E206" s="17" t="n"/>
      <c r="F206" s="17" t="n"/>
      <c r="G206" s="17" t="n"/>
    </row>
    <row r="207">
      <c r="A207" s="17" t="inlineStr">
        <is>
          <t>PK</t>
        </is>
      </c>
      <c r="B207" s="17" t="n"/>
      <c r="C207" s="17" t="n"/>
      <c r="D207" s="17" t="n"/>
      <c r="E207" s="17" t="n"/>
      <c r="F207" s="17" t="n"/>
      <c r="G207" s="17" t="n"/>
    </row>
    <row r="208">
      <c r="A208" s="17" t="inlineStr">
        <is>
          <t>PL</t>
        </is>
      </c>
      <c r="B208" s="17" t="n"/>
      <c r="C208" s="17" t="n"/>
      <c r="D208" s="17" t="n"/>
      <c r="E208" s="17" t="n"/>
      <c r="F208" s="17" t="n"/>
      <c r="G208" s="17" t="n"/>
    </row>
    <row r="209">
      <c r="A209" s="17" t="inlineStr">
        <is>
          <t>PM</t>
        </is>
      </c>
      <c r="B209" s="17" t="n"/>
      <c r="C209" s="17" t="n"/>
      <c r="D209" s="17" t="n"/>
      <c r="E209" s="17" t="n"/>
      <c r="F209" s="17" t="n"/>
      <c r="G209" s="17" t="n"/>
    </row>
    <row r="210">
      <c r="A210" s="17" t="inlineStr">
        <is>
          <t>PN</t>
        </is>
      </c>
      <c r="B210" s="17" t="n"/>
      <c r="C210" s="17" t="n"/>
      <c r="D210" s="17" t="n"/>
      <c r="E210" s="17" t="n"/>
      <c r="F210" s="17" t="n"/>
      <c r="G210" s="17" t="n"/>
    </row>
    <row r="211">
      <c r="A211" s="17" t="inlineStr">
        <is>
          <t>PR</t>
        </is>
      </c>
      <c r="B211" s="17" t="n"/>
      <c r="C211" s="17" t="n"/>
      <c r="D211" s="17" t="n"/>
      <c r="E211" s="17" t="n"/>
      <c r="F211" s="17" t="n"/>
      <c r="G211" s="17" t="n"/>
    </row>
    <row r="212">
      <c r="A212" s="17" t="inlineStr">
        <is>
          <t>PS</t>
        </is>
      </c>
      <c r="B212" s="17" t="n"/>
      <c r="C212" s="17" t="n"/>
      <c r="D212" s="17" t="n"/>
      <c r="E212" s="17" t="n"/>
      <c r="F212" s="17" t="n"/>
      <c r="G212" s="17" t="n"/>
    </row>
    <row r="213">
      <c r="A213" s="17" t="inlineStr">
        <is>
          <t>PT</t>
        </is>
      </c>
      <c r="B213" s="17" t="n"/>
      <c r="C213" s="17" t="n"/>
      <c r="D213" s="17" t="n"/>
      <c r="E213" s="17" t="n"/>
      <c r="F213" s="17" t="n"/>
      <c r="G213" s="17" t="n"/>
    </row>
    <row r="214">
      <c r="A214" s="17" t="inlineStr">
        <is>
          <t>PW</t>
        </is>
      </c>
      <c r="B214" s="17" t="n"/>
      <c r="C214" s="17" t="n"/>
      <c r="D214" s="17" t="n"/>
      <c r="E214" s="17" t="n"/>
      <c r="F214" s="17" t="n"/>
      <c r="G214" s="17" t="n"/>
    </row>
    <row r="215">
      <c r="A215" s="17" t="inlineStr">
        <is>
          <t>PY</t>
        </is>
      </c>
      <c r="B215" s="17" t="n"/>
      <c r="C215" s="17" t="n"/>
      <c r="D215" s="17" t="n"/>
      <c r="E215" s="17" t="n"/>
      <c r="F215" s="17" t="n"/>
      <c r="G215" s="17" t="n"/>
    </row>
    <row r="216">
      <c r="A216" s="17" t="inlineStr">
        <is>
          <t>QA</t>
        </is>
      </c>
      <c r="B216" s="17" t="n"/>
      <c r="C216" s="17" t="n"/>
      <c r="D216" s="17" t="n"/>
      <c r="E216" s="17" t="n"/>
      <c r="F216" s="17" t="n"/>
      <c r="G216" s="17" t="n"/>
    </row>
    <row r="217">
      <c r="A217" s="17" t="inlineStr">
        <is>
          <t>RE</t>
        </is>
      </c>
      <c r="B217" s="17" t="n"/>
      <c r="C217" s="17" t="n"/>
      <c r="D217" s="17" t="n"/>
      <c r="E217" s="17" t="n"/>
      <c r="F217" s="17" t="n"/>
      <c r="G217" s="17" t="n"/>
    </row>
    <row r="218">
      <c r="A218" s="17" t="inlineStr">
        <is>
          <t>RO</t>
        </is>
      </c>
      <c r="B218" s="17" t="n"/>
      <c r="C218" s="17" t="n"/>
      <c r="D218" s="17" t="n"/>
      <c r="E218" s="17" t="n"/>
      <c r="F218" s="17" t="n"/>
      <c r="G218" s="17" t="n"/>
    </row>
    <row r="219">
      <c r="A219" s="17" t="inlineStr">
        <is>
          <t>RS</t>
        </is>
      </c>
      <c r="B219" s="17" t="n"/>
      <c r="C219" s="17" t="n"/>
      <c r="D219" s="17" t="n"/>
      <c r="E219" s="17" t="n"/>
      <c r="F219" s="17" t="n"/>
      <c r="G219" s="17" t="n"/>
    </row>
    <row r="220">
      <c r="A220" s="17" t="inlineStr">
        <is>
          <t>RU</t>
        </is>
      </c>
      <c r="B220" s="17" t="n"/>
      <c r="C220" s="17" t="n"/>
      <c r="D220" s="17" t="n"/>
      <c r="E220" s="17" t="n"/>
      <c r="F220" s="17" t="n"/>
      <c r="G220" s="17" t="n"/>
    </row>
    <row r="221">
      <c r="A221" s="17" t="inlineStr">
        <is>
          <t>RW</t>
        </is>
      </c>
      <c r="B221" s="17" t="n"/>
      <c r="C221" s="17" t="n"/>
      <c r="D221" s="17" t="n"/>
      <c r="E221" s="17" t="n"/>
      <c r="F221" s="17" t="n"/>
      <c r="G221" s="17" t="n"/>
    </row>
    <row r="222">
      <c r="A222" s="17" t="inlineStr">
        <is>
          <t>SA</t>
        </is>
      </c>
      <c r="B222" s="17" t="n"/>
      <c r="C222" s="17" t="n"/>
      <c r="D222" s="17" t="n"/>
      <c r="E222" s="17" t="n"/>
      <c r="F222" s="17" t="n"/>
      <c r="G222" s="17" t="n"/>
    </row>
    <row r="223">
      <c r="A223" s="17" t="inlineStr">
        <is>
          <t>SB</t>
        </is>
      </c>
      <c r="B223" s="17" t="n"/>
      <c r="C223" s="17" t="n"/>
      <c r="D223" s="17" t="n"/>
      <c r="E223" s="17" t="n"/>
      <c r="F223" s="17" t="n"/>
      <c r="G223" s="17" t="n"/>
    </row>
    <row r="224">
      <c r="A224" s="17" t="inlineStr">
        <is>
          <t>SC</t>
        </is>
      </c>
      <c r="B224" s="17" t="n"/>
      <c r="C224" s="17" t="n"/>
      <c r="D224" s="17" t="n"/>
      <c r="E224" s="17" t="n"/>
      <c r="F224" s="17" t="n"/>
      <c r="G224" s="17" t="n"/>
    </row>
    <row r="225">
      <c r="A225" s="17" t="inlineStr">
        <is>
          <t>SD</t>
        </is>
      </c>
      <c r="B225" s="17" t="n"/>
      <c r="C225" s="17" t="n"/>
      <c r="D225" s="17" t="n"/>
      <c r="E225" s="17" t="n"/>
      <c r="F225" s="17" t="n"/>
      <c r="G225" s="17" t="n"/>
    </row>
    <row r="226">
      <c r="A226" s="17" t="inlineStr">
        <is>
          <t>SE</t>
        </is>
      </c>
      <c r="B226" s="17" t="n"/>
      <c r="C226" s="17" t="n"/>
      <c r="D226" s="17" t="n"/>
      <c r="E226" s="17" t="n"/>
      <c r="F226" s="17" t="n"/>
      <c r="G226" s="17" t="n"/>
    </row>
    <row r="227">
      <c r="A227" s="17" t="inlineStr">
        <is>
          <t>SG</t>
        </is>
      </c>
      <c r="B227" s="17" t="n"/>
      <c r="C227" s="17" t="n"/>
      <c r="D227" s="17" t="n"/>
      <c r="E227" s="17" t="n"/>
      <c r="F227" s="17" t="n"/>
      <c r="G227" s="17" t="n"/>
    </row>
    <row r="228">
      <c r="A228" s="17" t="inlineStr">
        <is>
          <t>SH</t>
        </is>
      </c>
      <c r="B228" s="17" t="n"/>
      <c r="C228" s="17" t="n"/>
      <c r="D228" s="17" t="n"/>
      <c r="E228" s="17" t="n"/>
      <c r="F228" s="17" t="n"/>
      <c r="G228" s="17" t="n"/>
    </row>
    <row r="229">
      <c r="A229" s="17" t="inlineStr">
        <is>
          <t>SI</t>
        </is>
      </c>
      <c r="B229" s="17" t="n"/>
      <c r="C229" s="17" t="n"/>
      <c r="D229" s="17" t="n"/>
      <c r="E229" s="17" t="n"/>
      <c r="F229" s="17" t="n"/>
      <c r="G229" s="17" t="n"/>
    </row>
    <row r="230">
      <c r="A230" s="17" t="inlineStr">
        <is>
          <t>SJ</t>
        </is>
      </c>
      <c r="B230" s="17" t="n"/>
      <c r="C230" s="17" t="n"/>
      <c r="D230" s="17" t="n"/>
      <c r="E230" s="17" t="n"/>
      <c r="F230" s="17" t="n"/>
      <c r="G230" s="17" t="n"/>
    </row>
    <row r="231">
      <c r="A231" s="17" t="inlineStr">
        <is>
          <t>SK</t>
        </is>
      </c>
      <c r="B231" s="17" t="n"/>
      <c r="C231" s="17" t="n"/>
      <c r="D231" s="17" t="n"/>
      <c r="E231" s="17" t="n"/>
      <c r="F231" s="17" t="n"/>
      <c r="G231" s="17" t="n"/>
    </row>
    <row r="232">
      <c r="A232" s="17" t="inlineStr">
        <is>
          <t>SL</t>
        </is>
      </c>
      <c r="B232" s="17" t="n"/>
      <c r="C232" s="17" t="n"/>
      <c r="D232" s="17" t="n"/>
      <c r="E232" s="17" t="n"/>
      <c r="F232" s="17" t="n"/>
      <c r="G232" s="17" t="n"/>
    </row>
    <row r="233">
      <c r="A233" s="17" t="inlineStr">
        <is>
          <t>SM</t>
        </is>
      </c>
      <c r="B233" s="17" t="n"/>
      <c r="C233" s="17" t="n"/>
      <c r="D233" s="17" t="n"/>
      <c r="E233" s="17" t="n"/>
      <c r="F233" s="17" t="n"/>
      <c r="G233" s="17" t="n"/>
    </row>
    <row r="234">
      <c r="A234" s="17" t="inlineStr">
        <is>
          <t>SN</t>
        </is>
      </c>
      <c r="B234" s="17" t="n"/>
      <c r="C234" s="17" t="n"/>
      <c r="D234" s="17" t="n"/>
      <c r="E234" s="17" t="n"/>
      <c r="F234" s="17" t="n"/>
      <c r="G234" s="17" t="n"/>
    </row>
    <row r="235">
      <c r="A235" s="17" t="inlineStr">
        <is>
          <t>SO</t>
        </is>
      </c>
      <c r="B235" s="17" t="n"/>
      <c r="C235" s="17" t="n"/>
      <c r="D235" s="17" t="n"/>
      <c r="E235" s="17" t="n"/>
      <c r="F235" s="17" t="n"/>
      <c r="G235" s="17" t="n"/>
    </row>
    <row r="236">
      <c r="A236" s="17" t="inlineStr">
        <is>
          <t>SR</t>
        </is>
      </c>
      <c r="B236" s="17" t="n"/>
      <c r="C236" s="17" t="n"/>
      <c r="D236" s="17" t="n"/>
      <c r="E236" s="17" t="n"/>
      <c r="F236" s="17" t="n"/>
      <c r="G236" s="17" t="n"/>
    </row>
    <row r="237">
      <c r="A237" s="17" t="inlineStr">
        <is>
          <t>SS</t>
        </is>
      </c>
      <c r="B237" s="17" t="n"/>
      <c r="C237" s="17" t="n"/>
      <c r="D237" s="17" t="n"/>
      <c r="E237" s="17" t="n"/>
      <c r="F237" s="17" t="n"/>
      <c r="G237" s="17" t="n"/>
    </row>
    <row r="238">
      <c r="A238" s="17" t="inlineStr">
        <is>
          <t>ST</t>
        </is>
      </c>
      <c r="B238" s="17" t="n"/>
      <c r="C238" s="17" t="n"/>
      <c r="D238" s="17" t="n"/>
      <c r="E238" s="17" t="n"/>
      <c r="F238" s="17" t="n"/>
      <c r="G238" s="17" t="n"/>
    </row>
    <row r="239">
      <c r="A239" s="17" t="inlineStr">
        <is>
          <t>SV</t>
        </is>
      </c>
      <c r="B239" s="17" t="n"/>
      <c r="C239" s="17" t="n"/>
      <c r="D239" s="17" t="n"/>
      <c r="E239" s="17" t="n"/>
      <c r="F239" s="17" t="n"/>
      <c r="G239" s="17" t="n"/>
    </row>
    <row r="240">
      <c r="A240" s="17" t="inlineStr">
        <is>
          <t>SX</t>
        </is>
      </c>
      <c r="B240" s="17" t="n"/>
      <c r="C240" s="17" t="n"/>
      <c r="D240" s="17" t="n"/>
      <c r="E240" s="17" t="n"/>
      <c r="F240" s="17" t="n"/>
      <c r="G240" s="17" t="n"/>
    </row>
    <row r="241">
      <c r="A241" s="17" t="inlineStr">
        <is>
          <t>SY</t>
        </is>
      </c>
      <c r="B241" s="17" t="n"/>
      <c r="C241" s="17" t="n"/>
      <c r="D241" s="17" t="n"/>
      <c r="E241" s="17" t="n"/>
      <c r="F241" s="17" t="n"/>
      <c r="G241" s="17" t="n"/>
    </row>
    <row r="242">
      <c r="A242" s="17" t="inlineStr">
        <is>
          <t>SZ</t>
        </is>
      </c>
      <c r="B242" s="17" t="n"/>
      <c r="C242" s="17" t="n"/>
      <c r="D242" s="17" t="n"/>
      <c r="E242" s="17" t="n"/>
      <c r="F242" s="17" t="n"/>
      <c r="G242" s="17" t="n"/>
    </row>
    <row r="243">
      <c r="A243" s="17" t="inlineStr">
        <is>
          <t>TC</t>
        </is>
      </c>
      <c r="B243" s="17" t="n"/>
      <c r="C243" s="17" t="n"/>
      <c r="D243" s="17" t="n"/>
      <c r="E243" s="17" t="n"/>
      <c r="F243" s="17" t="n"/>
      <c r="G243" s="17" t="n"/>
    </row>
    <row r="244">
      <c r="A244" s="17" t="inlineStr">
        <is>
          <t>TD</t>
        </is>
      </c>
      <c r="B244" s="17" t="n"/>
      <c r="C244" s="17" t="n"/>
      <c r="D244" s="17" t="n"/>
      <c r="E244" s="17" t="n"/>
      <c r="F244" s="17" t="n"/>
      <c r="G244" s="17" t="n"/>
    </row>
    <row r="245">
      <c r="A245" s="17" t="inlineStr">
        <is>
          <t>TF</t>
        </is>
      </c>
      <c r="B245" s="17" t="n"/>
      <c r="C245" s="17" t="n"/>
      <c r="D245" s="17" t="n"/>
      <c r="E245" s="17" t="n"/>
      <c r="F245" s="17" t="n"/>
      <c r="G245" s="17" t="n"/>
    </row>
    <row r="246">
      <c r="A246" s="17" t="inlineStr">
        <is>
          <t>TG</t>
        </is>
      </c>
      <c r="B246" s="17" t="n"/>
      <c r="C246" s="17" t="n"/>
      <c r="D246" s="17" t="n"/>
      <c r="E246" s="17" t="n"/>
      <c r="F246" s="17" t="n"/>
      <c r="G246" s="17" t="n"/>
    </row>
    <row r="247">
      <c r="A247" s="17" t="inlineStr">
        <is>
          <t>TH</t>
        </is>
      </c>
      <c r="B247" s="17" t="n"/>
      <c r="C247" s="17" t="n"/>
      <c r="D247" s="17" t="n"/>
      <c r="E247" s="17" t="n"/>
      <c r="F247" s="17" t="n"/>
      <c r="G247" s="17" t="n"/>
    </row>
    <row r="248">
      <c r="A248" s="17" t="inlineStr">
        <is>
          <t>TJ</t>
        </is>
      </c>
      <c r="B248" s="17" t="n"/>
      <c r="C248" s="17" t="n"/>
      <c r="D248" s="17" t="n"/>
      <c r="E248" s="17" t="n"/>
      <c r="F248" s="17" t="n"/>
      <c r="G248" s="17" t="n"/>
    </row>
    <row r="249">
      <c r="A249" s="17" t="inlineStr">
        <is>
          <t>TK</t>
        </is>
      </c>
      <c r="B249" s="17" t="n"/>
      <c r="C249" s="17" t="n"/>
      <c r="D249" s="17" t="n"/>
      <c r="E249" s="17" t="n"/>
      <c r="F249" s="17" t="n"/>
      <c r="G249" s="17" t="n"/>
    </row>
    <row r="250">
      <c r="A250" s="17" t="inlineStr">
        <is>
          <t>TL</t>
        </is>
      </c>
      <c r="B250" s="17" t="n"/>
      <c r="C250" s="17" t="n"/>
      <c r="D250" s="17" t="n"/>
      <c r="E250" s="17" t="n"/>
      <c r="F250" s="17" t="n"/>
      <c r="G250" s="17" t="n"/>
    </row>
    <row r="251">
      <c r="A251" s="17" t="inlineStr">
        <is>
          <t>TM</t>
        </is>
      </c>
      <c r="B251" s="17" t="n"/>
      <c r="C251" s="17" t="n"/>
      <c r="D251" s="17" t="n"/>
      <c r="E251" s="17" t="n"/>
      <c r="F251" s="17" t="n"/>
      <c r="G251" s="17" t="n"/>
    </row>
    <row r="252">
      <c r="A252" s="17" t="inlineStr">
        <is>
          <t>TN</t>
        </is>
      </c>
      <c r="B252" s="17" t="n"/>
      <c r="C252" s="17" t="n"/>
      <c r="D252" s="17" t="n"/>
      <c r="E252" s="17" t="n"/>
      <c r="F252" s="17" t="n"/>
      <c r="G252" s="17" t="n"/>
    </row>
    <row r="253">
      <c r="A253" s="17" t="inlineStr">
        <is>
          <t>TO</t>
        </is>
      </c>
      <c r="B253" s="17" t="n"/>
      <c r="C253" s="17" t="n"/>
      <c r="D253" s="17" t="n"/>
      <c r="E253" s="17" t="n"/>
      <c r="F253" s="17" t="n"/>
      <c r="G253" s="17" t="n"/>
    </row>
    <row r="254">
      <c r="A254" s="17" t="inlineStr">
        <is>
          <t>TR</t>
        </is>
      </c>
      <c r="B254" s="17" t="n"/>
      <c r="C254" s="17" t="n"/>
      <c r="D254" s="17" t="n"/>
      <c r="E254" s="17" t="n"/>
      <c r="F254" s="17" t="n"/>
      <c r="G254" s="17" t="n"/>
    </row>
    <row r="255">
      <c r="A255" s="17" t="inlineStr">
        <is>
          <t>TT</t>
        </is>
      </c>
      <c r="B255" s="17" t="n"/>
      <c r="C255" s="17" t="n"/>
      <c r="D255" s="17" t="n"/>
      <c r="E255" s="17" t="n"/>
      <c r="F255" s="17" t="n"/>
      <c r="G255" s="17" t="n"/>
    </row>
    <row r="256">
      <c r="A256" s="17" t="inlineStr">
        <is>
          <t>TV</t>
        </is>
      </c>
      <c r="B256" s="17" t="n"/>
      <c r="C256" s="17" t="n"/>
      <c r="D256" s="17" t="n"/>
      <c r="E256" s="17" t="n"/>
      <c r="F256" s="17" t="n"/>
      <c r="G256" s="17" t="n"/>
    </row>
    <row r="257">
      <c r="A257" s="17" t="inlineStr">
        <is>
          <t>TW</t>
        </is>
      </c>
      <c r="B257" s="17" t="n"/>
      <c r="C257" s="17" t="n"/>
      <c r="D257" s="17" t="n"/>
      <c r="E257" s="17" t="n"/>
      <c r="F257" s="17" t="n"/>
      <c r="G257" s="17" t="n"/>
    </row>
    <row r="258">
      <c r="A258" s="17" t="inlineStr">
        <is>
          <t>TZ</t>
        </is>
      </c>
      <c r="B258" s="17" t="n"/>
      <c r="C258" s="17" t="n"/>
      <c r="D258" s="17" t="n"/>
      <c r="E258" s="17" t="n"/>
      <c r="F258" s="17" t="n"/>
      <c r="G258" s="17" t="n"/>
    </row>
    <row r="259">
      <c r="A259" s="17" t="inlineStr">
        <is>
          <t>UA</t>
        </is>
      </c>
      <c r="B259" s="17" t="n"/>
      <c r="C259" s="17" t="n"/>
      <c r="D259" s="17" t="n"/>
      <c r="E259" s="17" t="n"/>
      <c r="F259" s="17" t="n"/>
      <c r="G259" s="17" t="n"/>
    </row>
    <row r="260">
      <c r="A260" s="17" t="inlineStr">
        <is>
          <t>UG</t>
        </is>
      </c>
      <c r="B260" s="17" t="n"/>
      <c r="C260" s="17" t="n"/>
      <c r="D260" s="17" t="n"/>
      <c r="E260" s="17" t="n"/>
      <c r="F260" s="17" t="n"/>
      <c r="G260" s="17" t="n"/>
    </row>
    <row r="261">
      <c r="A261" s="17" t="inlineStr">
        <is>
          <t>UM</t>
        </is>
      </c>
      <c r="B261" s="17" t="n"/>
      <c r="C261" s="17" t="n"/>
      <c r="D261" s="17" t="n"/>
      <c r="E261" s="17" t="n"/>
      <c r="F261" s="17" t="n"/>
      <c r="G261" s="17" t="n"/>
    </row>
    <row r="262">
      <c r="A262" s="17" t="inlineStr">
        <is>
          <t>US</t>
        </is>
      </c>
      <c r="B262" s="17" t="n"/>
      <c r="C262" s="17" t="n"/>
      <c r="D262" s="17" t="n"/>
      <c r="E262" s="17" t="n"/>
      <c r="F262" s="17" t="n"/>
      <c r="G262" s="17" t="n"/>
    </row>
    <row r="263">
      <c r="A263" s="17" t="inlineStr">
        <is>
          <t>UY</t>
        </is>
      </c>
      <c r="B263" s="17" t="n"/>
      <c r="C263" s="17" t="n"/>
      <c r="D263" s="17" t="n"/>
      <c r="E263" s="17" t="n"/>
      <c r="F263" s="17" t="n"/>
      <c r="G263" s="17" t="n"/>
    </row>
    <row r="264">
      <c r="A264" s="17" t="inlineStr">
        <is>
          <t>UZ</t>
        </is>
      </c>
      <c r="B264" s="17" t="n"/>
      <c r="C264" s="17" t="n"/>
      <c r="D264" s="17" t="n"/>
      <c r="E264" s="17" t="n"/>
      <c r="F264" s="17" t="n"/>
      <c r="G264" s="17" t="n"/>
    </row>
    <row r="265">
      <c r="A265" s="17" t="inlineStr">
        <is>
          <t>VA</t>
        </is>
      </c>
      <c r="B265" s="17" t="n"/>
      <c r="C265" s="17" t="n"/>
      <c r="D265" s="17" t="n"/>
      <c r="E265" s="17" t="n"/>
      <c r="F265" s="17" t="n"/>
      <c r="G265" s="17" t="n"/>
    </row>
    <row r="266">
      <c r="A266" s="17" t="inlineStr">
        <is>
          <t>VC</t>
        </is>
      </c>
      <c r="B266" s="17" t="n"/>
      <c r="C266" s="17" t="n"/>
      <c r="D266" s="17" t="n"/>
      <c r="E266" s="17" t="n"/>
      <c r="F266" s="17" t="n"/>
      <c r="G266" s="17" t="n"/>
    </row>
    <row r="267">
      <c r="A267" s="17" t="inlineStr">
        <is>
          <t>VE</t>
        </is>
      </c>
      <c r="B267" s="17" t="n"/>
      <c r="C267" s="17" t="n"/>
      <c r="D267" s="17" t="n"/>
      <c r="E267" s="17" t="n"/>
      <c r="F267" s="17" t="n"/>
      <c r="G267" s="17" t="n"/>
    </row>
    <row r="268">
      <c r="A268" s="17" t="inlineStr">
        <is>
          <t>VG</t>
        </is>
      </c>
      <c r="B268" s="17" t="n"/>
      <c r="C268" s="17" t="n"/>
      <c r="D268" s="17" t="n"/>
      <c r="E268" s="17" t="n"/>
      <c r="F268" s="17" t="n"/>
      <c r="G268" s="17" t="n"/>
    </row>
    <row r="269">
      <c r="A269" s="17" t="inlineStr">
        <is>
          <t>VI</t>
        </is>
      </c>
      <c r="B269" s="17" t="n"/>
      <c r="C269" s="17" t="n"/>
      <c r="D269" s="17" t="n"/>
      <c r="E269" s="17" t="n"/>
      <c r="F269" s="17" t="n"/>
      <c r="G269" s="17" t="n"/>
    </row>
    <row r="270">
      <c r="A270" s="17" t="inlineStr">
        <is>
          <t>VN</t>
        </is>
      </c>
      <c r="B270" s="17" t="n"/>
      <c r="C270" s="17" t="n"/>
      <c r="D270" s="17" t="n"/>
      <c r="E270" s="17" t="n"/>
      <c r="F270" s="17" t="n"/>
      <c r="G270" s="17" t="n"/>
    </row>
    <row r="271">
      <c r="A271" s="17" t="inlineStr">
        <is>
          <t>VU</t>
        </is>
      </c>
      <c r="B271" s="17" t="n"/>
      <c r="C271" s="17" t="n"/>
      <c r="D271" s="17" t="n"/>
      <c r="E271" s="17" t="n"/>
      <c r="F271" s="17" t="n"/>
      <c r="G271" s="17" t="n"/>
    </row>
    <row r="272">
      <c r="A272" s="17" t="inlineStr">
        <is>
          <t>WF</t>
        </is>
      </c>
      <c r="B272" s="17" t="n"/>
      <c r="C272" s="17" t="n"/>
      <c r="D272" s="17" t="n"/>
      <c r="E272" s="17" t="n"/>
      <c r="F272" s="17" t="n"/>
      <c r="G272" s="17" t="n"/>
    </row>
    <row r="273">
      <c r="A273" s="17" t="inlineStr">
        <is>
          <t>WS</t>
        </is>
      </c>
      <c r="B273" s="17" t="n"/>
      <c r="C273" s="17" t="n"/>
      <c r="D273" s="17" t="n"/>
      <c r="E273" s="17" t="n"/>
      <c r="F273" s="17" t="n"/>
      <c r="G273" s="17" t="n"/>
    </row>
    <row r="274">
      <c r="A274" s="17" t="inlineStr">
        <is>
          <t>YE</t>
        </is>
      </c>
      <c r="B274" s="17" t="n"/>
      <c r="C274" s="17" t="n"/>
      <c r="D274" s="17" t="n"/>
      <c r="E274" s="17" t="n"/>
      <c r="F274" s="17" t="n"/>
      <c r="G274" s="17" t="n"/>
    </row>
    <row r="275">
      <c r="A275" s="17" t="inlineStr">
        <is>
          <t>YT</t>
        </is>
      </c>
      <c r="B275" s="17" t="n"/>
      <c r="C275" s="17" t="n"/>
      <c r="D275" s="17" t="n"/>
      <c r="E275" s="17" t="n"/>
      <c r="F275" s="17" t="n"/>
      <c r="G275" s="17" t="n"/>
    </row>
    <row r="276">
      <c r="A276" s="17" t="inlineStr">
        <is>
          <t>ZA</t>
        </is>
      </c>
      <c r="B276" s="17" t="n"/>
      <c r="C276" s="17" t="n"/>
      <c r="D276" s="17" t="n"/>
      <c r="E276" s="17" t="n"/>
      <c r="F276" s="17" t="n"/>
      <c r="G276" s="17" t="n"/>
    </row>
    <row r="277">
      <c r="A277" s="17" t="inlineStr">
        <is>
          <t>ZM</t>
        </is>
      </c>
      <c r="B277" s="17" t="n"/>
      <c r="C277" s="17" t="n"/>
      <c r="D277" s="17" t="n"/>
      <c r="E277" s="17" t="n"/>
      <c r="F277" s="17" t="n"/>
      <c r="G277" s="17" t="n"/>
    </row>
    <row r="278">
      <c r="A278" s="17" t="inlineStr">
        <is>
          <t>ZW</t>
        </is>
      </c>
      <c r="B278" s="17" t="n"/>
      <c r="C278" s="17" t="n"/>
      <c r="D278" s="17" t="n"/>
      <c r="E278" s="17" t="n"/>
      <c r="F278" s="17" t="n"/>
      <c r="G278" s="17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001"/>
  <sheetViews>
    <sheetView workbookViewId="0">
      <selection activeCell="A1" sqref="A1"/>
    </sheetView>
  </sheetViews>
  <sheetFormatPr baseColWidth="8" defaultRowHeight="15"/>
  <cols>
    <col width="8" customWidth="1" style="72" min="1" max="1"/>
    <col width="28" customWidth="1" style="72" min="2" max="2"/>
    <col width="14" customWidth="1" style="72" min="3" max="3"/>
    <col width="28" customWidth="1" style="72" min="4" max="4"/>
    <col width="18" customWidth="1" style="72" min="5" max="5"/>
    <col width="12" customWidth="1" style="72" min="6" max="6"/>
    <col width="14" customWidth="1" style="72" min="7" max="7"/>
    <col width="16" customWidth="1" style="72" min="8" max="8"/>
    <col width="18" customWidth="1" style="72" min="9" max="9"/>
    <col width="14" customWidth="1" style="72" min="10" max="10"/>
    <col width="14" customWidth="1" style="72" min="11" max="11"/>
    <col width="15" customWidth="1" style="72" min="12" max="12"/>
    <col width="18" customWidth="1" style="72" min="13" max="13"/>
    <col width="24" customWidth="1" style="72" min="14" max="14"/>
    <col width="26" customWidth="1" style="72" min="15" max="15"/>
    <col width="14" customWidth="1" style="72" min="17" max="17"/>
    <col width="40" customWidth="1" style="72" min="18" max="18"/>
  </cols>
  <sheetData>
    <row r="1" ht="22" customHeight="1" s="72">
      <c r="A1" s="12" t="inlineStr">
        <is>
          <t>ID</t>
        </is>
      </c>
      <c r="B1" s="13" t="inlineStr">
        <is>
          <t>Nome do inscrito(a)</t>
        </is>
      </c>
      <c r="C1" s="89" t="inlineStr">
        <is>
          <t>Data de inscrição</t>
        </is>
      </c>
      <c r="D1" s="13" t="inlineStr">
        <is>
          <t>E-mail</t>
        </is>
      </c>
      <c r="E1" s="13" t="inlineStr">
        <is>
          <t>Contato</t>
        </is>
      </c>
      <c r="F1" s="13" t="inlineStr">
        <is>
          <t>Região</t>
        </is>
      </c>
      <c r="G1" s="13" t="inlineStr">
        <is>
          <t>Turma</t>
        </is>
      </c>
      <c r="H1" s="13" t="inlineStr">
        <is>
          <t>Idade</t>
        </is>
      </c>
      <c r="I1" s="13" t="inlineStr">
        <is>
          <t>Renda Familiar</t>
        </is>
      </c>
      <c r="J1" s="13" t="inlineStr">
        <is>
          <t>Equipe Example Organization</t>
        </is>
      </c>
      <c r="K1" s="91" t="inlineStr">
        <is>
          <t>Agendamento</t>
        </is>
      </c>
      <c r="L1" s="80" t="inlineStr">
        <is>
          <t>Status</t>
        </is>
      </c>
      <c r="M1" s="80" t="inlineStr">
        <is>
          <t>Motivo</t>
        </is>
      </c>
      <c r="N1" s="80" t="inlineStr">
        <is>
          <t>Comentários</t>
        </is>
      </c>
      <c r="O1" s="14" t="inlineStr">
        <is>
          <t>Pendências</t>
        </is>
      </c>
      <c r="Q1" s="26" t="inlineStr">
        <is>
          <t>Equipe</t>
        </is>
      </c>
      <c r="R1" s="27" t="inlineStr">
        <is>
          <t>Observação</t>
        </is>
      </c>
    </row>
    <row r="2">
      <c r="A2" s="17">
        <f>IFERROR(FILTER(Candidatos!A2:J1001,Candidatos!J2:J1001="Team A"),"")</f>
        <v/>
      </c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92" t="n"/>
      <c r="L2" s="76" t="n"/>
      <c r="M2" s="76" t="n"/>
      <c r="N2" s="76" t="n"/>
      <c r="O2" s="17">
        <f t="array" ref="O2:O1001">BYROW(HSTACK(B2:B1001,J2:L1001),LAMBDA(r,IF(INDEX(r,1,1)="","",TEXTJOIN(" | ",TRUE,IF(INDEX(r,1,2)="","Sem equipe",""),IF(INDEX(r,1,3)="","Sem agendamento",""),IF(INDEX(r,1,4)="","Sem status","")))))</f>
        <v/>
      </c>
      <c r="Q2" s="17" t="inlineStr">
        <is>
          <t>Team A</t>
        </is>
      </c>
      <c r="R2" s="17" t="inlineStr">
        <is>
          <t>Dados cadastrais automáticos. Edite Agendamento, Status, Motivo e Comentários nas colunas K:N.</t>
        </is>
      </c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92" t="n"/>
      <c r="L3" s="76" t="n"/>
      <c r="M3" s="76" t="n"/>
      <c r="N3" s="76" t="n"/>
      <c r="O3" s="17" t="str"/>
      <c r="Q3" s="17" t="inlineStr">
        <is>
          <t>Total</t>
        </is>
      </c>
      <c r="R3" s="17">
        <f>COUNTIFS(Candidatos!B2:B1001,"?*",Candidatos!J2:J1001,"Team A")</f>
        <v/>
      </c>
    </row>
    <row r="4">
      <c r="A4" s="17" t="n"/>
      <c r="B4" s="17" t="n"/>
      <c r="C4" s="17" t="n"/>
      <c r="D4" s="17" t="n"/>
      <c r="E4" s="17" t="n"/>
      <c r="F4" s="17" t="n"/>
      <c r="G4" s="17" t="n"/>
      <c r="H4" s="17" t="n"/>
      <c r="I4" s="17" t="n"/>
      <c r="J4" s="17" t="n"/>
      <c r="K4" s="92" t="n"/>
      <c r="L4" s="76" t="n"/>
      <c r="M4" s="76" t="n"/>
      <c r="N4" s="76" t="n"/>
      <c r="O4" s="17" t="str"/>
    </row>
    <row r="5">
      <c r="A5" s="17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92" t="n"/>
      <c r="L5" s="76" t="n"/>
      <c r="M5" s="76" t="n"/>
      <c r="N5" s="76" t="n"/>
      <c r="O5" s="17" t="str"/>
    </row>
    <row r="6">
      <c r="A6" s="17" t="n"/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92" t="n"/>
      <c r="L6" s="76" t="n"/>
      <c r="M6" s="76" t="n"/>
      <c r="N6" s="76" t="n"/>
      <c r="O6" s="17" t="str"/>
    </row>
    <row r="7">
      <c r="A7" s="17" t="n"/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92" t="n"/>
      <c r="L7" s="76" t="n"/>
      <c r="M7" s="76" t="n"/>
      <c r="N7" s="76" t="n"/>
      <c r="O7" s="17" t="str"/>
    </row>
    <row r="8">
      <c r="A8" s="17" t="n"/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92" t="n"/>
      <c r="L8" s="76" t="n"/>
      <c r="M8" s="76" t="n"/>
      <c r="N8" s="76" t="n"/>
      <c r="O8" s="17" t="str"/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92" t="n"/>
      <c r="L9" s="76" t="n"/>
      <c r="M9" s="76" t="n"/>
      <c r="N9" s="76" t="n"/>
      <c r="O9" s="17" t="str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92" t="n"/>
      <c r="L10" s="76" t="n"/>
      <c r="M10" s="76" t="n"/>
      <c r="N10" s="76" t="n"/>
      <c r="O10" s="17" t="str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92" t="n"/>
      <c r="L11" s="76" t="n"/>
      <c r="M11" s="76" t="n"/>
      <c r="N11" s="76" t="n"/>
      <c r="O11" s="17" t="str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92" t="n"/>
      <c r="L12" s="76" t="n"/>
      <c r="M12" s="76" t="n"/>
      <c r="N12" s="76" t="n"/>
      <c r="O12" s="17" t="str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92" t="n"/>
      <c r="L13" s="76" t="n"/>
      <c r="M13" s="76" t="n"/>
      <c r="N13" s="76" t="n"/>
      <c r="O13" s="17" t="str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92" t="n"/>
      <c r="L14" s="76" t="n"/>
      <c r="M14" s="76" t="n"/>
      <c r="N14" s="76" t="n"/>
      <c r="O14" s="17" t="str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92" t="n"/>
      <c r="L15" s="76" t="n"/>
      <c r="M15" s="76" t="n"/>
      <c r="N15" s="76" t="n"/>
      <c r="O15" s="17" t="str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92" t="n"/>
      <c r="L16" s="76" t="n"/>
      <c r="M16" s="76" t="n"/>
      <c r="N16" s="76" t="n"/>
      <c r="O16" s="17" t="str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92" t="n"/>
      <c r="L17" s="76" t="n"/>
      <c r="M17" s="76" t="n"/>
      <c r="N17" s="76" t="n"/>
      <c r="O17" s="17" t="str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92" t="n"/>
      <c r="L18" s="76" t="n"/>
      <c r="M18" s="76" t="n"/>
      <c r="N18" s="76" t="n"/>
      <c r="O18" s="17" t="str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92" t="n"/>
      <c r="L19" s="76" t="n"/>
      <c r="M19" s="76" t="n"/>
      <c r="N19" s="76" t="n"/>
      <c r="O19" s="17" t="str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92" t="n"/>
      <c r="L20" s="76" t="n"/>
      <c r="M20" s="76" t="n"/>
      <c r="N20" s="76" t="n"/>
      <c r="O20" s="17" t="str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92" t="n"/>
      <c r="L21" s="76" t="n"/>
      <c r="M21" s="76" t="n"/>
      <c r="N21" s="76" t="n"/>
      <c r="O21" s="17" t="str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92" t="n"/>
      <c r="L22" s="76" t="n"/>
      <c r="M22" s="76" t="n"/>
      <c r="N22" s="76" t="n"/>
      <c r="O22" s="17" t="str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92" t="n"/>
      <c r="L23" s="76" t="n"/>
      <c r="M23" s="76" t="n"/>
      <c r="N23" s="76" t="n"/>
      <c r="O23" s="17" t="str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92" t="n"/>
      <c r="L24" s="76" t="n"/>
      <c r="M24" s="76" t="n"/>
      <c r="N24" s="76" t="n"/>
      <c r="O24" s="17" t="str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92" t="n"/>
      <c r="L25" s="76" t="n"/>
      <c r="M25" s="76" t="n"/>
      <c r="N25" s="76" t="n"/>
      <c r="O25" s="17" t="str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92" t="n"/>
      <c r="L26" s="76" t="n"/>
      <c r="M26" s="76" t="n"/>
      <c r="N26" s="76" t="n"/>
      <c r="O26" s="17" t="str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92" t="n"/>
      <c r="L27" s="76" t="n"/>
      <c r="M27" s="76" t="n"/>
      <c r="N27" s="76" t="n"/>
      <c r="O27" s="17" t="str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92" t="n"/>
      <c r="L28" s="76" t="n"/>
      <c r="M28" s="76" t="n"/>
      <c r="N28" s="76" t="n"/>
      <c r="O28" s="17" t="str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92" t="n"/>
      <c r="L29" s="76" t="n"/>
      <c r="M29" s="76" t="n"/>
      <c r="N29" s="76" t="n"/>
      <c r="O29" s="17" t="str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92" t="n"/>
      <c r="L30" s="76" t="n"/>
      <c r="M30" s="76" t="n"/>
      <c r="N30" s="76" t="n"/>
      <c r="O30" s="17" t="str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92" t="n"/>
      <c r="L31" s="76" t="n"/>
      <c r="M31" s="76" t="n"/>
      <c r="N31" s="76" t="n"/>
      <c r="O31" s="17" t="str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92" t="n"/>
      <c r="L32" s="76" t="n"/>
      <c r="M32" s="76" t="n"/>
      <c r="N32" s="76" t="n"/>
      <c r="O32" s="17" t="str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92" t="n"/>
      <c r="L33" s="76" t="n"/>
      <c r="M33" s="76" t="n"/>
      <c r="N33" s="76" t="n"/>
      <c r="O33" s="17" t="str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92" t="n"/>
      <c r="L34" s="76" t="n"/>
      <c r="M34" s="76" t="n"/>
      <c r="N34" s="76" t="n"/>
      <c r="O34" s="17" t="str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92" t="n"/>
      <c r="L35" s="76" t="n"/>
      <c r="M35" s="76" t="n"/>
      <c r="N35" s="76" t="n"/>
      <c r="O35" s="17" t="str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92" t="n"/>
      <c r="L36" s="76" t="n"/>
      <c r="M36" s="76" t="n"/>
      <c r="N36" s="76" t="n"/>
      <c r="O36" s="17" t="str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92" t="n"/>
      <c r="L37" s="76" t="n"/>
      <c r="M37" s="76" t="n"/>
      <c r="N37" s="76" t="n"/>
      <c r="O37" s="17" t="str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92" t="n"/>
      <c r="L38" s="76" t="n"/>
      <c r="M38" s="76" t="n"/>
      <c r="N38" s="76" t="n"/>
      <c r="O38" s="17" t="str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92" t="n"/>
      <c r="L39" s="76" t="n"/>
      <c r="M39" s="76" t="n"/>
      <c r="N39" s="76" t="n"/>
      <c r="O39" s="17" t="str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92" t="n"/>
      <c r="L40" s="76" t="n"/>
      <c r="M40" s="76" t="n"/>
      <c r="N40" s="76" t="n"/>
      <c r="O40" s="17" t="str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92" t="n"/>
      <c r="L41" s="76" t="n"/>
      <c r="M41" s="76" t="n"/>
      <c r="N41" s="76" t="n"/>
      <c r="O41" s="17" t="str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92" t="n"/>
      <c r="L42" s="76" t="n"/>
      <c r="M42" s="76" t="n"/>
      <c r="N42" s="76" t="n"/>
      <c r="O42" s="17" t="str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92" t="n"/>
      <c r="L43" s="76" t="n"/>
      <c r="M43" s="76" t="n"/>
      <c r="N43" s="76" t="n"/>
      <c r="O43" s="17" t="str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92" t="n"/>
      <c r="L44" s="76" t="n"/>
      <c r="M44" s="76" t="n"/>
      <c r="N44" s="76" t="n"/>
      <c r="O44" s="17" t="str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92" t="n"/>
      <c r="L45" s="76" t="n"/>
      <c r="M45" s="76" t="n"/>
      <c r="N45" s="76" t="n"/>
      <c r="O45" s="17" t="str"/>
    </row>
    <row r="46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92" t="n"/>
      <c r="L46" s="76" t="n"/>
      <c r="M46" s="76" t="n"/>
      <c r="N46" s="76" t="n"/>
      <c r="O46" s="17" t="str"/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92" t="n"/>
      <c r="L47" s="76" t="n"/>
      <c r="M47" s="76" t="n"/>
      <c r="N47" s="76" t="n"/>
      <c r="O47" s="17" t="str"/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92" t="n"/>
      <c r="L48" s="76" t="n"/>
      <c r="M48" s="76" t="n"/>
      <c r="N48" s="76" t="n"/>
      <c r="O48" s="17" t="str"/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92" t="n"/>
      <c r="L49" s="76" t="n"/>
      <c r="M49" s="76" t="n"/>
      <c r="N49" s="76" t="n"/>
      <c r="O49" s="17" t="str"/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92" t="n"/>
      <c r="L50" s="76" t="n"/>
      <c r="M50" s="76" t="n"/>
      <c r="N50" s="76" t="n"/>
      <c r="O50" s="17" t="str"/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92" t="n"/>
      <c r="L51" s="76" t="n"/>
      <c r="M51" s="76" t="n"/>
      <c r="N51" s="76" t="n"/>
      <c r="O51" s="17" t="str"/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92" t="n"/>
      <c r="L52" s="76" t="n"/>
      <c r="M52" s="76" t="n"/>
      <c r="N52" s="76" t="n"/>
      <c r="O52" s="17" t="str"/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92" t="n"/>
      <c r="L53" s="76" t="n"/>
      <c r="M53" s="76" t="n"/>
      <c r="N53" s="76" t="n"/>
      <c r="O53" s="17" t="str"/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92" t="n"/>
      <c r="L54" s="76" t="n"/>
      <c r="M54" s="76" t="n"/>
      <c r="N54" s="76" t="n"/>
      <c r="O54" s="17" t="str"/>
    </row>
    <row r="55">
      <c r="A55" s="17" t="n"/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92" t="n"/>
      <c r="L55" s="76" t="n"/>
      <c r="M55" s="76" t="n"/>
      <c r="N55" s="76" t="n"/>
      <c r="O55" s="17" t="str"/>
    </row>
    <row r="56">
      <c r="A56" s="17" t="n"/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92" t="n"/>
      <c r="L56" s="76" t="n"/>
      <c r="M56" s="76" t="n"/>
      <c r="N56" s="76" t="n"/>
      <c r="O56" s="17" t="str"/>
    </row>
    <row r="57">
      <c r="A57" s="17" t="n"/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92" t="n"/>
      <c r="L57" s="76" t="n"/>
      <c r="M57" s="76" t="n"/>
      <c r="N57" s="76" t="n"/>
      <c r="O57" s="17" t="str"/>
    </row>
    <row r="58">
      <c r="A58" s="17" t="n"/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92" t="n"/>
      <c r="L58" s="76" t="n"/>
      <c r="M58" s="76" t="n"/>
      <c r="N58" s="76" t="n"/>
      <c r="O58" s="17" t="str"/>
    </row>
    <row r="59">
      <c r="A59" s="17" t="n"/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92" t="n"/>
      <c r="L59" s="76" t="n"/>
      <c r="M59" s="76" t="n"/>
      <c r="N59" s="76" t="n"/>
      <c r="O59" s="17" t="str"/>
    </row>
    <row r="60">
      <c r="A60" s="17" t="n"/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92" t="n"/>
      <c r="L60" s="76" t="n"/>
      <c r="M60" s="76" t="n"/>
      <c r="N60" s="76" t="n"/>
      <c r="O60" s="17" t="str"/>
    </row>
    <row r="61">
      <c r="A61" s="17" t="n"/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92" t="n"/>
      <c r="L61" s="76" t="n"/>
      <c r="M61" s="76" t="n"/>
      <c r="N61" s="76" t="n"/>
      <c r="O61" s="17" t="str"/>
    </row>
    <row r="62">
      <c r="A62" s="17" t="n"/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92" t="n"/>
      <c r="L62" s="76" t="n"/>
      <c r="M62" s="76" t="n"/>
      <c r="N62" s="76" t="n"/>
      <c r="O62" s="17" t="str"/>
    </row>
    <row r="63">
      <c r="A63" s="17" t="n"/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92" t="n"/>
      <c r="L63" s="76" t="n"/>
      <c r="M63" s="76" t="n"/>
      <c r="N63" s="76" t="n"/>
      <c r="O63" s="17" t="str"/>
    </row>
    <row r="64">
      <c r="A64" s="17" t="n"/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92" t="n"/>
      <c r="L64" s="76" t="n"/>
      <c r="M64" s="76" t="n"/>
      <c r="N64" s="76" t="n"/>
      <c r="O64" s="17" t="str"/>
    </row>
    <row r="65">
      <c r="A65" s="17" t="n"/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92" t="n"/>
      <c r="L65" s="76" t="n"/>
      <c r="M65" s="76" t="n"/>
      <c r="N65" s="76" t="n"/>
      <c r="O65" s="17" t="str"/>
    </row>
    <row r="66">
      <c r="A66" s="17" t="n"/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92" t="n"/>
      <c r="L66" s="76" t="n"/>
      <c r="M66" s="76" t="n"/>
      <c r="N66" s="76" t="n"/>
      <c r="O66" s="17" t="str"/>
    </row>
    <row r="67">
      <c r="A67" s="17" t="n"/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92" t="n"/>
      <c r="L67" s="76" t="n"/>
      <c r="M67" s="76" t="n"/>
      <c r="N67" s="76" t="n"/>
      <c r="O67" s="17" t="str"/>
    </row>
    <row r="68">
      <c r="A68" s="17" t="n"/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92" t="n"/>
      <c r="L68" s="76" t="n"/>
      <c r="M68" s="76" t="n"/>
      <c r="N68" s="76" t="n"/>
      <c r="O68" s="17" t="str"/>
    </row>
    <row r="69">
      <c r="A69" s="17" t="n"/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92" t="n"/>
      <c r="L69" s="76" t="n"/>
      <c r="M69" s="76" t="n"/>
      <c r="N69" s="76" t="n"/>
      <c r="O69" s="17" t="str"/>
    </row>
    <row r="70">
      <c r="A70" s="17" t="n"/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92" t="n"/>
      <c r="L70" s="76" t="n"/>
      <c r="M70" s="76" t="n"/>
      <c r="N70" s="76" t="n"/>
      <c r="O70" s="17" t="str"/>
    </row>
    <row r="71">
      <c r="A71" s="17" t="n"/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92" t="n"/>
      <c r="L71" s="76" t="n"/>
      <c r="M71" s="76" t="n"/>
      <c r="N71" s="76" t="n"/>
      <c r="O71" s="17" t="str"/>
    </row>
    <row r="72">
      <c r="A72" s="17" t="n"/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92" t="n"/>
      <c r="L72" s="76" t="n"/>
      <c r="M72" s="76" t="n"/>
      <c r="N72" s="76" t="n"/>
      <c r="O72" s="17" t="str"/>
    </row>
    <row r="73">
      <c r="A73" s="17" t="n"/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92" t="n"/>
      <c r="L73" s="76" t="n"/>
      <c r="M73" s="76" t="n"/>
      <c r="N73" s="76" t="n"/>
      <c r="O73" s="17" t="str"/>
    </row>
    <row r="74">
      <c r="A74" s="17" t="n"/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92" t="n"/>
      <c r="L74" s="76" t="n"/>
      <c r="M74" s="76" t="n"/>
      <c r="N74" s="76" t="n"/>
      <c r="O74" s="17" t="str"/>
    </row>
    <row r="75">
      <c r="A75" s="17" t="n"/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92" t="n"/>
      <c r="L75" s="76" t="n"/>
      <c r="M75" s="76" t="n"/>
      <c r="N75" s="76" t="n"/>
      <c r="O75" s="17" t="str"/>
    </row>
    <row r="76">
      <c r="A76" s="17" t="n"/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92" t="n"/>
      <c r="L76" s="76" t="n"/>
      <c r="M76" s="76" t="n"/>
      <c r="N76" s="76" t="n"/>
      <c r="O76" s="17" t="str"/>
    </row>
    <row r="77">
      <c r="A77" s="17" t="n"/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92" t="n"/>
      <c r="L77" s="76" t="n"/>
      <c r="M77" s="76" t="n"/>
      <c r="N77" s="76" t="n"/>
      <c r="O77" s="17" t="str"/>
    </row>
    <row r="78">
      <c r="A78" s="17" t="n"/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92" t="n"/>
      <c r="L78" s="76" t="n"/>
      <c r="M78" s="76" t="n"/>
      <c r="N78" s="76" t="n"/>
      <c r="O78" s="17" t="str"/>
    </row>
    <row r="79">
      <c r="A79" s="17" t="n"/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92" t="n"/>
      <c r="L79" s="76" t="n"/>
      <c r="M79" s="76" t="n"/>
      <c r="N79" s="76" t="n"/>
      <c r="O79" s="17" t="str"/>
    </row>
    <row r="80">
      <c r="A80" s="17" t="n"/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92" t="n"/>
      <c r="L80" s="76" t="n"/>
      <c r="M80" s="76" t="n"/>
      <c r="N80" s="76" t="n"/>
      <c r="O80" s="17" t="str"/>
    </row>
    <row r="81">
      <c r="A81" s="17" t="n"/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92" t="n"/>
      <c r="L81" s="76" t="n"/>
      <c r="M81" s="76" t="n"/>
      <c r="N81" s="76" t="n"/>
      <c r="O81" s="17" t="str"/>
    </row>
    <row r="82">
      <c r="A82" s="17" t="n"/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92" t="n"/>
      <c r="L82" s="76" t="n"/>
      <c r="M82" s="76" t="n"/>
      <c r="N82" s="76" t="n"/>
      <c r="O82" s="17" t="str"/>
    </row>
    <row r="83">
      <c r="A83" s="17" t="n"/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92" t="n"/>
      <c r="L83" s="76" t="n"/>
      <c r="M83" s="76" t="n"/>
      <c r="N83" s="76" t="n"/>
      <c r="O83" s="17" t="str"/>
    </row>
    <row r="84">
      <c r="A84" s="17" t="n"/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92" t="n"/>
      <c r="L84" s="76" t="n"/>
      <c r="M84" s="76" t="n"/>
      <c r="N84" s="76" t="n"/>
      <c r="O84" s="17" t="str"/>
    </row>
    <row r="85">
      <c r="A85" s="17" t="n"/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92" t="n"/>
      <c r="L85" s="76" t="n"/>
      <c r="M85" s="76" t="n"/>
      <c r="N85" s="76" t="n"/>
      <c r="O85" s="17" t="str"/>
    </row>
    <row r="86">
      <c r="A86" s="17" t="n"/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92" t="n"/>
      <c r="L86" s="76" t="n"/>
      <c r="M86" s="76" t="n"/>
      <c r="N86" s="76" t="n"/>
      <c r="O86" s="17" t="str"/>
    </row>
    <row r="87">
      <c r="A87" s="17" t="n"/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92" t="n"/>
      <c r="L87" s="76" t="n"/>
      <c r="M87" s="76" t="n"/>
      <c r="N87" s="76" t="n"/>
      <c r="O87" s="17" t="str"/>
    </row>
    <row r="88">
      <c r="A88" s="17" t="n"/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92" t="n"/>
      <c r="L88" s="76" t="n"/>
      <c r="M88" s="76" t="n"/>
      <c r="N88" s="76" t="n"/>
      <c r="O88" s="17" t="str"/>
    </row>
    <row r="89">
      <c r="A89" s="17" t="n"/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92" t="n"/>
      <c r="L89" s="76" t="n"/>
      <c r="M89" s="76" t="n"/>
      <c r="N89" s="76" t="n"/>
      <c r="O89" s="17" t="str"/>
    </row>
    <row r="90">
      <c r="A90" s="17" t="n"/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92" t="n"/>
      <c r="L90" s="76" t="n"/>
      <c r="M90" s="76" t="n"/>
      <c r="N90" s="76" t="n"/>
      <c r="O90" s="17" t="str"/>
    </row>
    <row r="91">
      <c r="A91" s="17" t="n"/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92" t="n"/>
      <c r="L91" s="76" t="n"/>
      <c r="M91" s="76" t="n"/>
      <c r="N91" s="76" t="n"/>
      <c r="O91" s="17" t="str"/>
    </row>
    <row r="92">
      <c r="A92" s="17" t="n"/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92" t="n"/>
      <c r="L92" s="76" t="n"/>
      <c r="M92" s="76" t="n"/>
      <c r="N92" s="76" t="n"/>
      <c r="O92" s="17" t="str"/>
    </row>
    <row r="93">
      <c r="A93" s="17" t="n"/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92" t="n"/>
      <c r="L93" s="76" t="n"/>
      <c r="M93" s="76" t="n"/>
      <c r="N93" s="76" t="n"/>
      <c r="O93" s="17" t="str"/>
    </row>
    <row r="94">
      <c r="A94" s="17" t="n"/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92" t="n"/>
      <c r="L94" s="76" t="n"/>
      <c r="M94" s="76" t="n"/>
      <c r="N94" s="76" t="n"/>
      <c r="O94" s="17" t="str"/>
    </row>
    <row r="95">
      <c r="A95" s="17" t="n"/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92" t="n"/>
      <c r="L95" s="76" t="n"/>
      <c r="M95" s="76" t="n"/>
      <c r="N95" s="76" t="n"/>
      <c r="O95" s="17" t="str"/>
    </row>
    <row r="96">
      <c r="A96" s="17" t="n"/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92" t="n"/>
      <c r="L96" s="76" t="n"/>
      <c r="M96" s="76" t="n"/>
      <c r="N96" s="76" t="n"/>
      <c r="O96" s="17" t="str"/>
    </row>
    <row r="97">
      <c r="A97" s="17" t="n"/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92" t="n"/>
      <c r="L97" s="76" t="n"/>
      <c r="M97" s="76" t="n"/>
      <c r="N97" s="76" t="n"/>
      <c r="O97" s="17" t="str"/>
    </row>
    <row r="98">
      <c r="A98" s="17" t="n"/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92" t="n"/>
      <c r="L98" s="76" t="n"/>
      <c r="M98" s="76" t="n"/>
      <c r="N98" s="76" t="n"/>
      <c r="O98" s="17" t="str"/>
    </row>
    <row r="99">
      <c r="A99" s="17" t="n"/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92" t="n"/>
      <c r="L99" s="76" t="n"/>
      <c r="M99" s="76" t="n"/>
      <c r="N99" s="76" t="n"/>
      <c r="O99" s="17" t="str"/>
    </row>
    <row r="100">
      <c r="A100" s="17" t="n"/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92" t="n"/>
      <c r="L100" s="76" t="n"/>
      <c r="M100" s="76" t="n"/>
      <c r="N100" s="76" t="n"/>
      <c r="O100" s="17" t="str"/>
    </row>
    <row r="101">
      <c r="A101" s="17" t="n"/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92" t="n"/>
      <c r="L101" s="76" t="n"/>
      <c r="M101" s="76" t="n"/>
      <c r="N101" s="76" t="n"/>
      <c r="O101" s="17" t="str"/>
    </row>
    <row r="102">
      <c r="A102" s="17" t="n"/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92" t="n"/>
      <c r="L102" s="76" t="n"/>
      <c r="M102" s="76" t="n"/>
      <c r="N102" s="76" t="n"/>
      <c r="O102" s="17" t="str"/>
    </row>
    <row r="103">
      <c r="A103" s="17" t="n"/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92" t="n"/>
      <c r="L103" s="76" t="n"/>
      <c r="M103" s="76" t="n"/>
      <c r="N103" s="76" t="n"/>
      <c r="O103" s="17" t="str"/>
    </row>
    <row r="104">
      <c r="A104" s="17" t="n"/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92" t="n"/>
      <c r="L104" s="76" t="n"/>
      <c r="M104" s="76" t="n"/>
      <c r="N104" s="76" t="n"/>
      <c r="O104" s="17" t="str"/>
    </row>
    <row r="105">
      <c r="A105" s="17" t="n"/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92" t="n"/>
      <c r="L105" s="76" t="n"/>
      <c r="M105" s="76" t="n"/>
      <c r="N105" s="76" t="n"/>
      <c r="O105" s="17" t="str"/>
    </row>
    <row r="106">
      <c r="A106" s="17" t="n"/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92" t="n"/>
      <c r="L106" s="76" t="n"/>
      <c r="M106" s="76" t="n"/>
      <c r="N106" s="76" t="n"/>
      <c r="O106" s="17" t="str"/>
    </row>
    <row r="107">
      <c r="A107" s="17" t="n"/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92" t="n"/>
      <c r="L107" s="76" t="n"/>
      <c r="M107" s="76" t="n"/>
      <c r="N107" s="76" t="n"/>
      <c r="O107" s="17" t="str"/>
    </row>
    <row r="108">
      <c r="A108" s="17" t="n"/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92" t="n"/>
      <c r="L108" s="76" t="n"/>
      <c r="M108" s="76" t="n"/>
      <c r="N108" s="76" t="n"/>
      <c r="O108" s="17" t="str"/>
    </row>
    <row r="109">
      <c r="A109" s="17" t="n"/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92" t="n"/>
      <c r="L109" s="76" t="n"/>
      <c r="M109" s="76" t="n"/>
      <c r="N109" s="76" t="n"/>
      <c r="O109" s="17" t="str"/>
    </row>
    <row r="110">
      <c r="A110" s="17" t="n"/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92" t="n"/>
      <c r="L110" s="76" t="n"/>
      <c r="M110" s="76" t="n"/>
      <c r="N110" s="76" t="n"/>
      <c r="O110" s="17" t="str"/>
    </row>
    <row r="111">
      <c r="A111" s="17" t="n"/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92" t="n"/>
      <c r="L111" s="76" t="n"/>
      <c r="M111" s="76" t="n"/>
      <c r="N111" s="76" t="n"/>
      <c r="O111" s="17" t="str"/>
    </row>
    <row r="112">
      <c r="A112" s="17" t="n"/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92" t="n"/>
      <c r="L112" s="76" t="n"/>
      <c r="M112" s="76" t="n"/>
      <c r="N112" s="76" t="n"/>
      <c r="O112" s="17" t="str"/>
    </row>
    <row r="113">
      <c r="A113" s="17" t="n"/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92" t="n"/>
      <c r="L113" s="76" t="n"/>
      <c r="M113" s="76" t="n"/>
      <c r="N113" s="76" t="n"/>
      <c r="O113" s="17" t="str"/>
    </row>
    <row r="114">
      <c r="A114" s="17" t="n"/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92" t="n"/>
      <c r="L114" s="76" t="n"/>
      <c r="M114" s="76" t="n"/>
      <c r="N114" s="76" t="n"/>
      <c r="O114" s="17" t="str"/>
    </row>
    <row r="115">
      <c r="A115" s="17" t="n"/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92" t="n"/>
      <c r="L115" s="76" t="n"/>
      <c r="M115" s="76" t="n"/>
      <c r="N115" s="76" t="n"/>
      <c r="O115" s="17" t="str"/>
    </row>
    <row r="116">
      <c r="A116" s="17" t="n"/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92" t="n"/>
      <c r="L116" s="76" t="n"/>
      <c r="M116" s="76" t="n"/>
      <c r="N116" s="76" t="n"/>
      <c r="O116" s="17" t="str"/>
    </row>
    <row r="117">
      <c r="A117" s="17" t="n"/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92" t="n"/>
      <c r="L117" s="76" t="n"/>
      <c r="M117" s="76" t="n"/>
      <c r="N117" s="76" t="n"/>
      <c r="O117" s="17" t="str"/>
    </row>
    <row r="118">
      <c r="A118" s="17" t="n"/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92" t="n"/>
      <c r="L118" s="76" t="n"/>
      <c r="M118" s="76" t="n"/>
      <c r="N118" s="76" t="n"/>
      <c r="O118" s="17" t="str"/>
    </row>
    <row r="119">
      <c r="A119" s="17" t="n"/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92" t="n"/>
      <c r="L119" s="76" t="n"/>
      <c r="M119" s="76" t="n"/>
      <c r="N119" s="76" t="n"/>
      <c r="O119" s="17" t="str"/>
    </row>
    <row r="120">
      <c r="A120" s="17" t="n"/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92" t="n"/>
      <c r="L120" s="76" t="n"/>
      <c r="M120" s="76" t="n"/>
      <c r="N120" s="76" t="n"/>
      <c r="O120" s="17" t="str"/>
    </row>
    <row r="121">
      <c r="A121" s="17" t="n"/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92" t="n"/>
      <c r="L121" s="76" t="n"/>
      <c r="M121" s="76" t="n"/>
      <c r="N121" s="76" t="n"/>
      <c r="O121" s="17" t="str"/>
    </row>
    <row r="122">
      <c r="A122" s="17" t="n"/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92" t="n"/>
      <c r="L122" s="76" t="n"/>
      <c r="M122" s="76" t="n"/>
      <c r="N122" s="76" t="n"/>
      <c r="O122" s="17" t="str"/>
    </row>
    <row r="123">
      <c r="A123" s="17" t="n"/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92" t="n"/>
      <c r="L123" s="76" t="n"/>
      <c r="M123" s="76" t="n"/>
      <c r="N123" s="76" t="n"/>
      <c r="O123" s="17" t="str"/>
    </row>
    <row r="124">
      <c r="A124" s="17" t="n"/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92" t="n"/>
      <c r="L124" s="76" t="n"/>
      <c r="M124" s="76" t="n"/>
      <c r="N124" s="76" t="n"/>
      <c r="O124" s="17" t="str"/>
    </row>
    <row r="125">
      <c r="A125" s="17" t="n"/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92" t="n"/>
      <c r="L125" s="76" t="n"/>
      <c r="M125" s="76" t="n"/>
      <c r="N125" s="76" t="n"/>
      <c r="O125" s="17" t="str"/>
    </row>
    <row r="126">
      <c r="A126" s="17" t="n"/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92" t="n"/>
      <c r="L126" s="76" t="n"/>
      <c r="M126" s="76" t="n"/>
      <c r="N126" s="76" t="n"/>
      <c r="O126" s="17" t="str"/>
    </row>
    <row r="127">
      <c r="A127" s="17" t="n"/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92" t="n"/>
      <c r="L127" s="76" t="n"/>
      <c r="M127" s="76" t="n"/>
      <c r="N127" s="76" t="n"/>
      <c r="O127" s="17" t="str"/>
    </row>
    <row r="128">
      <c r="A128" s="17" t="n"/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92" t="n"/>
      <c r="L128" s="76" t="n"/>
      <c r="M128" s="76" t="n"/>
      <c r="N128" s="76" t="n"/>
      <c r="O128" s="17" t="str"/>
    </row>
    <row r="129">
      <c r="A129" s="17" t="n"/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92" t="n"/>
      <c r="L129" s="76" t="n"/>
      <c r="M129" s="76" t="n"/>
      <c r="N129" s="76" t="n"/>
      <c r="O129" s="17" t="str"/>
    </row>
    <row r="130">
      <c r="A130" s="17" t="n"/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92" t="n"/>
      <c r="L130" s="76" t="n"/>
      <c r="M130" s="76" t="n"/>
      <c r="N130" s="76" t="n"/>
      <c r="O130" s="17" t="str"/>
    </row>
    <row r="131">
      <c r="A131" s="17" t="n"/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92" t="n"/>
      <c r="L131" s="76" t="n"/>
      <c r="M131" s="76" t="n"/>
      <c r="N131" s="76" t="n"/>
      <c r="O131" s="17" t="str"/>
    </row>
    <row r="132">
      <c r="A132" s="17" t="n"/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92" t="n"/>
      <c r="L132" s="76" t="n"/>
      <c r="M132" s="76" t="n"/>
      <c r="N132" s="76" t="n"/>
      <c r="O132" s="17" t="str"/>
    </row>
    <row r="133">
      <c r="A133" s="17" t="n"/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92" t="n"/>
      <c r="L133" s="76" t="n"/>
      <c r="M133" s="76" t="n"/>
      <c r="N133" s="76" t="n"/>
      <c r="O133" s="17" t="str"/>
    </row>
    <row r="134">
      <c r="A134" s="17" t="n"/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92" t="n"/>
      <c r="L134" s="76" t="n"/>
      <c r="M134" s="76" t="n"/>
      <c r="N134" s="76" t="n"/>
      <c r="O134" s="17" t="str"/>
    </row>
    <row r="135">
      <c r="A135" s="17" t="n"/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92" t="n"/>
      <c r="L135" s="76" t="n"/>
      <c r="M135" s="76" t="n"/>
      <c r="N135" s="76" t="n"/>
      <c r="O135" s="17" t="str"/>
    </row>
    <row r="136">
      <c r="A136" s="17" t="n"/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92" t="n"/>
      <c r="L136" s="76" t="n"/>
      <c r="M136" s="76" t="n"/>
      <c r="N136" s="76" t="n"/>
      <c r="O136" s="17" t="str"/>
    </row>
    <row r="137">
      <c r="A137" s="17" t="n"/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92" t="n"/>
      <c r="L137" s="76" t="n"/>
      <c r="M137" s="76" t="n"/>
      <c r="N137" s="76" t="n"/>
      <c r="O137" s="17" t="str"/>
    </row>
    <row r="138">
      <c r="A138" s="17" t="n"/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92" t="n"/>
      <c r="L138" s="76" t="n"/>
      <c r="M138" s="76" t="n"/>
      <c r="N138" s="76" t="n"/>
      <c r="O138" s="17" t="str"/>
    </row>
    <row r="139">
      <c r="A139" s="17" t="n"/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92" t="n"/>
      <c r="L139" s="76" t="n"/>
      <c r="M139" s="76" t="n"/>
      <c r="N139" s="76" t="n"/>
      <c r="O139" s="17" t="str"/>
    </row>
    <row r="140">
      <c r="A140" s="17" t="n"/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92" t="n"/>
      <c r="L140" s="76" t="n"/>
      <c r="M140" s="76" t="n"/>
      <c r="N140" s="76" t="n"/>
      <c r="O140" s="17" t="str"/>
    </row>
    <row r="141">
      <c r="A141" s="17" t="n"/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92" t="n"/>
      <c r="L141" s="76" t="n"/>
      <c r="M141" s="76" t="n"/>
      <c r="N141" s="76" t="n"/>
      <c r="O141" s="17" t="str"/>
    </row>
    <row r="142">
      <c r="A142" s="17" t="n"/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92" t="n"/>
      <c r="L142" s="76" t="n"/>
      <c r="M142" s="76" t="n"/>
      <c r="N142" s="76" t="n"/>
      <c r="O142" s="17" t="str"/>
    </row>
    <row r="143">
      <c r="A143" s="17" t="n"/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92" t="n"/>
      <c r="L143" s="76" t="n"/>
      <c r="M143" s="76" t="n"/>
      <c r="N143" s="76" t="n"/>
      <c r="O143" s="17" t="str"/>
    </row>
    <row r="144">
      <c r="A144" s="17" t="n"/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92" t="n"/>
      <c r="L144" s="76" t="n"/>
      <c r="M144" s="76" t="n"/>
      <c r="N144" s="76" t="n"/>
      <c r="O144" s="17" t="str"/>
    </row>
    <row r="145">
      <c r="A145" s="17" t="n"/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92" t="n"/>
      <c r="L145" s="76" t="n"/>
      <c r="M145" s="76" t="n"/>
      <c r="N145" s="76" t="n"/>
      <c r="O145" s="17" t="str"/>
    </row>
    <row r="146">
      <c r="A146" s="17" t="n"/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92" t="n"/>
      <c r="L146" s="76" t="n"/>
      <c r="M146" s="76" t="n"/>
      <c r="N146" s="76" t="n"/>
      <c r="O146" s="17" t="str"/>
    </row>
    <row r="147">
      <c r="A147" s="17" t="n"/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92" t="n"/>
      <c r="L147" s="76" t="n"/>
      <c r="M147" s="76" t="n"/>
      <c r="N147" s="76" t="n"/>
      <c r="O147" s="17" t="str"/>
    </row>
    <row r="148">
      <c r="A148" s="17" t="n"/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92" t="n"/>
      <c r="L148" s="76" t="n"/>
      <c r="M148" s="76" t="n"/>
      <c r="N148" s="76" t="n"/>
      <c r="O148" s="17" t="str"/>
    </row>
    <row r="149">
      <c r="A149" s="17" t="n"/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92" t="n"/>
      <c r="L149" s="76" t="n"/>
      <c r="M149" s="76" t="n"/>
      <c r="N149" s="76" t="n"/>
      <c r="O149" s="17" t="str"/>
    </row>
    <row r="150">
      <c r="A150" s="17" t="n"/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92" t="n"/>
      <c r="L150" s="76" t="n"/>
      <c r="M150" s="76" t="n"/>
      <c r="N150" s="76" t="n"/>
      <c r="O150" s="17" t="str"/>
    </row>
    <row r="151">
      <c r="A151" s="17" t="n"/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92" t="n"/>
      <c r="L151" s="76" t="n"/>
      <c r="M151" s="76" t="n"/>
      <c r="N151" s="76" t="n"/>
      <c r="O151" s="17" t="str"/>
    </row>
    <row r="152">
      <c r="A152" s="17" t="n"/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92" t="n"/>
      <c r="L152" s="76" t="n"/>
      <c r="M152" s="76" t="n"/>
      <c r="N152" s="76" t="n"/>
      <c r="O152" s="17" t="str"/>
    </row>
    <row r="153">
      <c r="A153" s="17" t="n"/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92" t="n"/>
      <c r="L153" s="76" t="n"/>
      <c r="M153" s="76" t="n"/>
      <c r="N153" s="76" t="n"/>
      <c r="O153" s="17" t="str"/>
    </row>
    <row r="154">
      <c r="A154" s="17" t="n"/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92" t="n"/>
      <c r="L154" s="76" t="n"/>
      <c r="M154" s="76" t="n"/>
      <c r="N154" s="76" t="n"/>
      <c r="O154" s="17" t="str"/>
    </row>
    <row r="155">
      <c r="A155" s="17" t="n"/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92" t="n"/>
      <c r="L155" s="76" t="n"/>
      <c r="M155" s="76" t="n"/>
      <c r="N155" s="76" t="n"/>
      <c r="O155" s="17" t="str"/>
    </row>
    <row r="156">
      <c r="A156" s="17" t="n"/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92" t="n"/>
      <c r="L156" s="76" t="n"/>
      <c r="M156" s="76" t="n"/>
      <c r="N156" s="76" t="n"/>
      <c r="O156" s="17" t="str"/>
    </row>
    <row r="157">
      <c r="A157" s="17" t="n"/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92" t="n"/>
      <c r="L157" s="76" t="n"/>
      <c r="M157" s="76" t="n"/>
      <c r="N157" s="76" t="n"/>
      <c r="O157" s="17" t="str"/>
    </row>
    <row r="158">
      <c r="A158" s="17" t="n"/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92" t="n"/>
      <c r="L158" s="76" t="n"/>
      <c r="M158" s="76" t="n"/>
      <c r="N158" s="76" t="n"/>
      <c r="O158" s="17" t="str"/>
    </row>
    <row r="159">
      <c r="A159" s="17" t="n"/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92" t="n"/>
      <c r="L159" s="76" t="n"/>
      <c r="M159" s="76" t="n"/>
      <c r="N159" s="76" t="n"/>
      <c r="O159" s="17" t="str"/>
    </row>
    <row r="160">
      <c r="A160" s="17" t="n"/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92" t="n"/>
      <c r="L160" s="76" t="n"/>
      <c r="M160" s="76" t="n"/>
      <c r="N160" s="76" t="n"/>
      <c r="O160" s="17" t="str"/>
    </row>
    <row r="161">
      <c r="A161" s="17" t="n"/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92" t="n"/>
      <c r="L161" s="76" t="n"/>
      <c r="M161" s="76" t="n"/>
      <c r="N161" s="76" t="n"/>
      <c r="O161" s="17" t="str"/>
    </row>
    <row r="162">
      <c r="A162" s="17" t="n"/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92" t="n"/>
      <c r="L162" s="76" t="n"/>
      <c r="M162" s="76" t="n"/>
      <c r="N162" s="76" t="n"/>
      <c r="O162" s="17" t="str"/>
    </row>
    <row r="163">
      <c r="A163" s="17" t="n"/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92" t="n"/>
      <c r="L163" s="76" t="n"/>
      <c r="M163" s="76" t="n"/>
      <c r="N163" s="76" t="n"/>
      <c r="O163" s="17" t="str"/>
    </row>
    <row r="164">
      <c r="A164" s="17" t="n"/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92" t="n"/>
      <c r="L164" s="76" t="n"/>
      <c r="M164" s="76" t="n"/>
      <c r="N164" s="76" t="n"/>
      <c r="O164" s="17" t="str"/>
    </row>
    <row r="165">
      <c r="A165" s="17" t="n"/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92" t="n"/>
      <c r="L165" s="76" t="n"/>
      <c r="M165" s="76" t="n"/>
      <c r="N165" s="76" t="n"/>
      <c r="O165" s="17" t="str"/>
    </row>
    <row r="166">
      <c r="A166" s="17" t="n"/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92" t="n"/>
      <c r="L166" s="76" t="n"/>
      <c r="M166" s="76" t="n"/>
      <c r="N166" s="76" t="n"/>
      <c r="O166" s="17" t="str"/>
    </row>
    <row r="167">
      <c r="A167" s="17" t="n"/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92" t="n"/>
      <c r="L167" s="76" t="n"/>
      <c r="M167" s="76" t="n"/>
      <c r="N167" s="76" t="n"/>
      <c r="O167" s="17" t="str"/>
    </row>
    <row r="168">
      <c r="A168" s="17" t="n"/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92" t="n"/>
      <c r="L168" s="76" t="n"/>
      <c r="M168" s="76" t="n"/>
      <c r="N168" s="76" t="n"/>
      <c r="O168" s="17" t="str"/>
    </row>
    <row r="169">
      <c r="A169" s="17" t="n"/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92" t="n"/>
      <c r="L169" s="76" t="n"/>
      <c r="M169" s="76" t="n"/>
      <c r="N169" s="76" t="n"/>
      <c r="O169" s="17" t="str"/>
    </row>
    <row r="170">
      <c r="A170" s="17" t="n"/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92" t="n"/>
      <c r="L170" s="76" t="n"/>
      <c r="M170" s="76" t="n"/>
      <c r="N170" s="76" t="n"/>
      <c r="O170" s="17" t="str"/>
    </row>
    <row r="171">
      <c r="A171" s="17" t="n"/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92" t="n"/>
      <c r="L171" s="76" t="n"/>
      <c r="M171" s="76" t="n"/>
      <c r="N171" s="76" t="n"/>
      <c r="O171" s="17" t="str"/>
    </row>
    <row r="172">
      <c r="A172" s="17" t="n"/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92" t="n"/>
      <c r="L172" s="76" t="n"/>
      <c r="M172" s="76" t="n"/>
      <c r="N172" s="76" t="n"/>
      <c r="O172" s="17" t="str"/>
    </row>
    <row r="173">
      <c r="A173" s="17" t="n"/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92" t="n"/>
      <c r="L173" s="76" t="n"/>
      <c r="M173" s="76" t="n"/>
      <c r="N173" s="76" t="n"/>
      <c r="O173" s="17" t="str"/>
    </row>
    <row r="174">
      <c r="A174" s="17" t="n"/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92" t="n"/>
      <c r="L174" s="76" t="n"/>
      <c r="M174" s="76" t="n"/>
      <c r="N174" s="76" t="n"/>
      <c r="O174" s="17" t="str"/>
    </row>
    <row r="175">
      <c r="A175" s="17" t="n"/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92" t="n"/>
      <c r="L175" s="76" t="n"/>
      <c r="M175" s="76" t="n"/>
      <c r="N175" s="76" t="n"/>
      <c r="O175" s="17" t="str"/>
    </row>
    <row r="176">
      <c r="A176" s="17" t="n"/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92" t="n"/>
      <c r="L176" s="76" t="n"/>
      <c r="M176" s="76" t="n"/>
      <c r="N176" s="76" t="n"/>
      <c r="O176" s="17" t="str"/>
    </row>
    <row r="177">
      <c r="A177" s="17" t="n"/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92" t="n"/>
      <c r="L177" s="76" t="n"/>
      <c r="M177" s="76" t="n"/>
      <c r="N177" s="76" t="n"/>
      <c r="O177" s="17" t="str"/>
    </row>
    <row r="178">
      <c r="A178" s="17" t="n"/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92" t="n"/>
      <c r="L178" s="76" t="n"/>
      <c r="M178" s="76" t="n"/>
      <c r="N178" s="76" t="n"/>
      <c r="O178" s="17" t="str"/>
    </row>
    <row r="179">
      <c r="A179" s="17" t="n"/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92" t="n"/>
      <c r="L179" s="76" t="n"/>
      <c r="M179" s="76" t="n"/>
      <c r="N179" s="76" t="n"/>
      <c r="O179" s="17" t="str"/>
    </row>
    <row r="180">
      <c r="A180" s="17" t="n"/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92" t="n"/>
      <c r="L180" s="76" t="n"/>
      <c r="M180" s="76" t="n"/>
      <c r="N180" s="76" t="n"/>
      <c r="O180" s="17" t="str"/>
    </row>
    <row r="181">
      <c r="A181" s="17" t="n"/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92" t="n"/>
      <c r="L181" s="76" t="n"/>
      <c r="M181" s="76" t="n"/>
      <c r="N181" s="76" t="n"/>
      <c r="O181" s="17" t="str"/>
    </row>
    <row r="182">
      <c r="A182" s="17" t="n"/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92" t="n"/>
      <c r="L182" s="76" t="n"/>
      <c r="M182" s="76" t="n"/>
      <c r="N182" s="76" t="n"/>
      <c r="O182" s="17" t="str"/>
    </row>
    <row r="183">
      <c r="A183" s="17" t="n"/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92" t="n"/>
      <c r="L183" s="76" t="n"/>
      <c r="M183" s="76" t="n"/>
      <c r="N183" s="76" t="n"/>
      <c r="O183" s="17" t="str"/>
    </row>
    <row r="184">
      <c r="A184" s="17" t="n"/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92" t="n"/>
      <c r="L184" s="76" t="n"/>
      <c r="M184" s="76" t="n"/>
      <c r="N184" s="76" t="n"/>
      <c r="O184" s="17" t="str"/>
    </row>
    <row r="185">
      <c r="A185" s="17" t="n"/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92" t="n"/>
      <c r="L185" s="76" t="n"/>
      <c r="M185" s="76" t="n"/>
      <c r="N185" s="76" t="n"/>
      <c r="O185" s="17" t="str"/>
    </row>
    <row r="186">
      <c r="A186" s="17" t="n"/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92" t="n"/>
      <c r="L186" s="76" t="n"/>
      <c r="M186" s="76" t="n"/>
      <c r="N186" s="76" t="n"/>
      <c r="O186" s="17" t="str"/>
    </row>
    <row r="187">
      <c r="A187" s="17" t="n"/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92" t="n"/>
      <c r="L187" s="76" t="n"/>
      <c r="M187" s="76" t="n"/>
      <c r="N187" s="76" t="n"/>
      <c r="O187" s="17" t="str"/>
    </row>
    <row r="188">
      <c r="A188" s="17" t="n"/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92" t="n"/>
      <c r="L188" s="76" t="n"/>
      <c r="M188" s="76" t="n"/>
      <c r="N188" s="76" t="n"/>
      <c r="O188" s="17" t="str"/>
    </row>
    <row r="189">
      <c r="A189" s="17" t="n"/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92" t="n"/>
      <c r="L189" s="76" t="n"/>
      <c r="M189" s="76" t="n"/>
      <c r="N189" s="76" t="n"/>
      <c r="O189" s="17" t="str"/>
    </row>
    <row r="190">
      <c r="A190" s="17" t="n"/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92" t="n"/>
      <c r="L190" s="76" t="n"/>
      <c r="M190" s="76" t="n"/>
      <c r="N190" s="76" t="n"/>
      <c r="O190" s="17" t="str"/>
    </row>
    <row r="191">
      <c r="A191" s="17" t="n"/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92" t="n"/>
      <c r="L191" s="76" t="n"/>
      <c r="M191" s="76" t="n"/>
      <c r="N191" s="76" t="n"/>
      <c r="O191" s="17" t="str"/>
    </row>
    <row r="192">
      <c r="A192" s="17" t="n"/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92" t="n"/>
      <c r="L192" s="76" t="n"/>
      <c r="M192" s="76" t="n"/>
      <c r="N192" s="76" t="n"/>
      <c r="O192" s="17" t="str"/>
    </row>
    <row r="193">
      <c r="A193" s="17" t="n"/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92" t="n"/>
      <c r="L193" s="76" t="n"/>
      <c r="M193" s="76" t="n"/>
      <c r="N193" s="76" t="n"/>
      <c r="O193" s="17" t="str"/>
    </row>
    <row r="194">
      <c r="A194" s="17" t="n"/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92" t="n"/>
      <c r="L194" s="76" t="n"/>
      <c r="M194" s="76" t="n"/>
      <c r="N194" s="76" t="n"/>
      <c r="O194" s="17" t="str"/>
    </row>
    <row r="195">
      <c r="A195" s="17" t="n"/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92" t="n"/>
      <c r="L195" s="76" t="n"/>
      <c r="M195" s="76" t="n"/>
      <c r="N195" s="76" t="n"/>
      <c r="O195" s="17" t="str"/>
    </row>
    <row r="196">
      <c r="A196" s="17" t="n"/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92" t="n"/>
      <c r="L196" s="76" t="n"/>
      <c r="M196" s="76" t="n"/>
      <c r="N196" s="76" t="n"/>
      <c r="O196" s="17" t="str"/>
    </row>
    <row r="197">
      <c r="A197" s="17" t="n"/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92" t="n"/>
      <c r="L197" s="76" t="n"/>
      <c r="M197" s="76" t="n"/>
      <c r="N197" s="76" t="n"/>
      <c r="O197" s="17" t="str"/>
    </row>
    <row r="198">
      <c r="A198" s="17" t="n"/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92" t="n"/>
      <c r="L198" s="76" t="n"/>
      <c r="M198" s="76" t="n"/>
      <c r="N198" s="76" t="n"/>
      <c r="O198" s="17" t="str"/>
    </row>
    <row r="199">
      <c r="A199" s="17" t="n"/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92" t="n"/>
      <c r="L199" s="76" t="n"/>
      <c r="M199" s="76" t="n"/>
      <c r="N199" s="76" t="n"/>
      <c r="O199" s="17" t="str"/>
    </row>
    <row r="200">
      <c r="A200" s="17" t="n"/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92" t="n"/>
      <c r="L200" s="76" t="n"/>
      <c r="M200" s="76" t="n"/>
      <c r="N200" s="76" t="n"/>
      <c r="O200" s="17" t="str"/>
    </row>
    <row r="201">
      <c r="K201" s="93" t="n"/>
      <c r="L201" s="78" t="n"/>
      <c r="M201" s="78" t="n"/>
      <c r="N201" s="78" t="n"/>
    </row>
    <row r="202">
      <c r="K202" s="93" t="n"/>
      <c r="L202" s="78" t="n"/>
      <c r="M202" s="78" t="n"/>
      <c r="N202" s="78" t="n"/>
    </row>
    <row r="203">
      <c r="K203" s="93" t="n"/>
      <c r="L203" s="78" t="n"/>
      <c r="M203" s="78" t="n"/>
      <c r="N203" s="78" t="n"/>
    </row>
    <row r="204">
      <c r="K204" s="93" t="n"/>
      <c r="L204" s="78" t="n"/>
      <c r="M204" s="78" t="n"/>
      <c r="N204" s="78" t="n"/>
    </row>
    <row r="205">
      <c r="K205" s="93" t="n"/>
      <c r="L205" s="78" t="n"/>
      <c r="M205" s="78" t="n"/>
      <c r="N205" s="78" t="n"/>
    </row>
    <row r="206">
      <c r="K206" s="93" t="n"/>
      <c r="L206" s="78" t="n"/>
      <c r="M206" s="78" t="n"/>
      <c r="N206" s="78" t="n"/>
    </row>
    <row r="207">
      <c r="K207" s="93" t="n"/>
      <c r="L207" s="78" t="n"/>
      <c r="M207" s="78" t="n"/>
      <c r="N207" s="78" t="n"/>
    </row>
    <row r="208">
      <c r="K208" s="93" t="n"/>
      <c r="L208" s="78" t="n"/>
      <c r="M208" s="78" t="n"/>
      <c r="N208" s="78" t="n"/>
    </row>
    <row r="209">
      <c r="K209" s="93" t="n"/>
      <c r="L209" s="78" t="n"/>
      <c r="M209" s="78" t="n"/>
      <c r="N209" s="78" t="n"/>
    </row>
    <row r="210">
      <c r="K210" s="93" t="n"/>
      <c r="L210" s="78" t="n"/>
      <c r="M210" s="78" t="n"/>
      <c r="N210" s="78" t="n"/>
    </row>
    <row r="211">
      <c r="K211" s="93" t="n"/>
      <c r="L211" s="78" t="n"/>
      <c r="M211" s="78" t="n"/>
      <c r="N211" s="78" t="n"/>
    </row>
    <row r="212">
      <c r="K212" s="93" t="n"/>
      <c r="L212" s="78" t="n"/>
      <c r="M212" s="78" t="n"/>
      <c r="N212" s="78" t="n"/>
    </row>
    <row r="213">
      <c r="K213" s="93" t="n"/>
      <c r="L213" s="78" t="n"/>
      <c r="M213" s="78" t="n"/>
      <c r="N213" s="78" t="n"/>
    </row>
    <row r="214">
      <c r="K214" s="93" t="n"/>
      <c r="L214" s="78" t="n"/>
      <c r="M214" s="78" t="n"/>
      <c r="N214" s="78" t="n"/>
    </row>
    <row r="215">
      <c r="K215" s="93" t="n"/>
      <c r="L215" s="78" t="n"/>
      <c r="M215" s="78" t="n"/>
      <c r="N215" s="78" t="n"/>
    </row>
    <row r="216">
      <c r="K216" s="93" t="n"/>
      <c r="L216" s="78" t="n"/>
      <c r="M216" s="78" t="n"/>
      <c r="N216" s="78" t="n"/>
    </row>
    <row r="217">
      <c r="K217" s="93" t="n"/>
      <c r="L217" s="78" t="n"/>
      <c r="M217" s="78" t="n"/>
      <c r="N217" s="78" t="n"/>
    </row>
    <row r="218">
      <c r="K218" s="93" t="n"/>
      <c r="L218" s="78" t="n"/>
      <c r="M218" s="78" t="n"/>
      <c r="N218" s="78" t="n"/>
    </row>
    <row r="219">
      <c r="K219" s="93" t="n"/>
      <c r="L219" s="78" t="n"/>
      <c r="M219" s="78" t="n"/>
      <c r="N219" s="78" t="n"/>
    </row>
    <row r="220">
      <c r="K220" s="93" t="n"/>
      <c r="L220" s="78" t="n"/>
      <c r="M220" s="78" t="n"/>
      <c r="N220" s="78" t="n"/>
    </row>
    <row r="221">
      <c r="K221" s="93" t="n"/>
      <c r="L221" s="78" t="n"/>
      <c r="M221" s="78" t="n"/>
      <c r="N221" s="78" t="n"/>
    </row>
    <row r="222">
      <c r="K222" s="93" t="n"/>
      <c r="L222" s="78" t="n"/>
      <c r="M222" s="78" t="n"/>
      <c r="N222" s="78" t="n"/>
    </row>
    <row r="223">
      <c r="K223" s="93" t="n"/>
      <c r="L223" s="78" t="n"/>
      <c r="M223" s="78" t="n"/>
      <c r="N223" s="78" t="n"/>
    </row>
    <row r="224">
      <c r="K224" s="93" t="n"/>
      <c r="L224" s="78" t="n"/>
      <c r="M224" s="78" t="n"/>
      <c r="N224" s="78" t="n"/>
    </row>
    <row r="225">
      <c r="K225" s="93" t="n"/>
      <c r="L225" s="78" t="n"/>
      <c r="M225" s="78" t="n"/>
      <c r="N225" s="78" t="n"/>
    </row>
    <row r="226">
      <c r="K226" s="93" t="n"/>
      <c r="L226" s="78" t="n"/>
      <c r="M226" s="78" t="n"/>
      <c r="N226" s="78" t="n"/>
    </row>
    <row r="227">
      <c r="K227" s="93" t="n"/>
      <c r="L227" s="78" t="n"/>
      <c r="M227" s="78" t="n"/>
      <c r="N227" s="78" t="n"/>
    </row>
    <row r="228">
      <c r="K228" s="93" t="n"/>
      <c r="L228" s="78" t="n"/>
      <c r="M228" s="78" t="n"/>
      <c r="N228" s="78" t="n"/>
    </row>
    <row r="229">
      <c r="K229" s="93" t="n"/>
      <c r="L229" s="78" t="n"/>
      <c r="M229" s="78" t="n"/>
      <c r="N229" s="78" t="n"/>
    </row>
    <row r="230">
      <c r="K230" s="93" t="n"/>
      <c r="L230" s="78" t="n"/>
      <c r="M230" s="78" t="n"/>
      <c r="N230" s="78" t="n"/>
    </row>
    <row r="231">
      <c r="K231" s="93" t="n"/>
      <c r="L231" s="78" t="n"/>
      <c r="M231" s="78" t="n"/>
      <c r="N231" s="78" t="n"/>
    </row>
    <row r="232">
      <c r="K232" s="93" t="n"/>
      <c r="L232" s="78" t="n"/>
      <c r="M232" s="78" t="n"/>
      <c r="N232" s="78" t="n"/>
    </row>
    <row r="233">
      <c r="K233" s="93" t="n"/>
      <c r="L233" s="78" t="n"/>
      <c r="M233" s="78" t="n"/>
      <c r="N233" s="78" t="n"/>
    </row>
    <row r="234">
      <c r="K234" s="93" t="n"/>
      <c r="L234" s="78" t="n"/>
      <c r="M234" s="78" t="n"/>
      <c r="N234" s="78" t="n"/>
    </row>
    <row r="235">
      <c r="K235" s="93" t="n"/>
      <c r="L235" s="78" t="n"/>
      <c r="M235" s="78" t="n"/>
      <c r="N235" s="78" t="n"/>
    </row>
    <row r="236">
      <c r="K236" s="93" t="n"/>
      <c r="L236" s="78" t="n"/>
      <c r="M236" s="78" t="n"/>
      <c r="N236" s="78" t="n"/>
    </row>
    <row r="237">
      <c r="K237" s="93" t="n"/>
      <c r="L237" s="78" t="n"/>
      <c r="M237" s="78" t="n"/>
      <c r="N237" s="78" t="n"/>
    </row>
    <row r="238">
      <c r="K238" s="93" t="n"/>
      <c r="L238" s="78" t="n"/>
      <c r="M238" s="78" t="n"/>
      <c r="N238" s="78" t="n"/>
    </row>
    <row r="239">
      <c r="K239" s="93" t="n"/>
      <c r="L239" s="78" t="n"/>
      <c r="M239" s="78" t="n"/>
      <c r="N239" s="78" t="n"/>
    </row>
    <row r="240">
      <c r="K240" s="93" t="n"/>
      <c r="L240" s="78" t="n"/>
      <c r="M240" s="78" t="n"/>
      <c r="N240" s="78" t="n"/>
    </row>
    <row r="241">
      <c r="K241" s="93" t="n"/>
      <c r="L241" s="78" t="n"/>
      <c r="M241" s="78" t="n"/>
      <c r="N241" s="78" t="n"/>
    </row>
    <row r="242">
      <c r="K242" s="93" t="n"/>
      <c r="L242" s="78" t="n"/>
      <c r="M242" s="78" t="n"/>
      <c r="N242" s="78" t="n"/>
    </row>
    <row r="243">
      <c r="K243" s="93" t="n"/>
      <c r="L243" s="78" t="n"/>
      <c r="M243" s="78" t="n"/>
      <c r="N243" s="78" t="n"/>
    </row>
    <row r="244">
      <c r="K244" s="93" t="n"/>
      <c r="L244" s="78" t="n"/>
      <c r="M244" s="78" t="n"/>
      <c r="N244" s="78" t="n"/>
    </row>
    <row r="245">
      <c r="K245" s="93" t="n"/>
      <c r="L245" s="78" t="n"/>
      <c r="M245" s="78" t="n"/>
      <c r="N245" s="78" t="n"/>
    </row>
    <row r="246">
      <c r="K246" s="93" t="n"/>
      <c r="L246" s="78" t="n"/>
      <c r="M246" s="78" t="n"/>
      <c r="N246" s="78" t="n"/>
    </row>
    <row r="247">
      <c r="K247" s="93" t="n"/>
      <c r="L247" s="78" t="n"/>
      <c r="M247" s="78" t="n"/>
      <c r="N247" s="78" t="n"/>
    </row>
    <row r="248">
      <c r="K248" s="93" t="n"/>
      <c r="L248" s="78" t="n"/>
      <c r="M248" s="78" t="n"/>
      <c r="N248" s="78" t="n"/>
    </row>
    <row r="249">
      <c r="K249" s="93" t="n"/>
      <c r="L249" s="78" t="n"/>
      <c r="M249" s="78" t="n"/>
      <c r="N249" s="78" t="n"/>
    </row>
    <row r="250">
      <c r="K250" s="93" t="n"/>
      <c r="L250" s="78" t="n"/>
      <c r="M250" s="78" t="n"/>
      <c r="N250" s="78" t="n"/>
    </row>
    <row r="251">
      <c r="K251" s="93" t="n"/>
      <c r="L251" s="78" t="n"/>
      <c r="M251" s="78" t="n"/>
      <c r="N251" s="78" t="n"/>
    </row>
    <row r="252">
      <c r="K252" s="93" t="n"/>
      <c r="L252" s="78" t="n"/>
      <c r="M252" s="78" t="n"/>
      <c r="N252" s="78" t="n"/>
    </row>
    <row r="253">
      <c r="K253" s="93" t="n"/>
      <c r="L253" s="78" t="n"/>
      <c r="M253" s="78" t="n"/>
      <c r="N253" s="78" t="n"/>
    </row>
    <row r="254">
      <c r="K254" s="93" t="n"/>
      <c r="L254" s="78" t="n"/>
      <c r="M254" s="78" t="n"/>
      <c r="N254" s="78" t="n"/>
    </row>
    <row r="255">
      <c r="K255" s="93" t="n"/>
      <c r="L255" s="78" t="n"/>
      <c r="M255" s="78" t="n"/>
      <c r="N255" s="78" t="n"/>
    </row>
    <row r="256">
      <c r="K256" s="93" t="n"/>
      <c r="L256" s="78" t="n"/>
      <c r="M256" s="78" t="n"/>
      <c r="N256" s="78" t="n"/>
    </row>
    <row r="257">
      <c r="K257" s="93" t="n"/>
      <c r="L257" s="78" t="n"/>
      <c r="M257" s="78" t="n"/>
      <c r="N257" s="78" t="n"/>
    </row>
    <row r="258">
      <c r="K258" s="93" t="n"/>
      <c r="L258" s="78" t="n"/>
      <c r="M258" s="78" t="n"/>
      <c r="N258" s="78" t="n"/>
    </row>
    <row r="259">
      <c r="K259" s="93" t="n"/>
      <c r="L259" s="78" t="n"/>
      <c r="M259" s="78" t="n"/>
      <c r="N259" s="78" t="n"/>
    </row>
    <row r="260">
      <c r="K260" s="93" t="n"/>
      <c r="L260" s="78" t="n"/>
      <c r="M260" s="78" t="n"/>
      <c r="N260" s="78" t="n"/>
    </row>
    <row r="261">
      <c r="K261" s="93" t="n"/>
      <c r="L261" s="78" t="n"/>
      <c r="M261" s="78" t="n"/>
      <c r="N261" s="78" t="n"/>
    </row>
    <row r="262">
      <c r="K262" s="93" t="n"/>
      <c r="L262" s="78" t="n"/>
      <c r="M262" s="78" t="n"/>
      <c r="N262" s="78" t="n"/>
    </row>
    <row r="263">
      <c r="K263" s="93" t="n"/>
      <c r="L263" s="78" t="n"/>
      <c r="M263" s="78" t="n"/>
      <c r="N263" s="78" t="n"/>
    </row>
    <row r="264">
      <c r="K264" s="93" t="n"/>
      <c r="L264" s="78" t="n"/>
      <c r="M264" s="78" t="n"/>
      <c r="N264" s="78" t="n"/>
    </row>
    <row r="265">
      <c r="K265" s="93" t="n"/>
      <c r="L265" s="78" t="n"/>
      <c r="M265" s="78" t="n"/>
      <c r="N265" s="78" t="n"/>
    </row>
    <row r="266">
      <c r="K266" s="93" t="n"/>
      <c r="L266" s="78" t="n"/>
      <c r="M266" s="78" t="n"/>
      <c r="N266" s="78" t="n"/>
    </row>
    <row r="267">
      <c r="K267" s="93" t="n"/>
      <c r="L267" s="78" t="n"/>
      <c r="M267" s="78" t="n"/>
      <c r="N267" s="78" t="n"/>
    </row>
    <row r="268">
      <c r="K268" s="93" t="n"/>
      <c r="L268" s="78" t="n"/>
      <c r="M268" s="78" t="n"/>
      <c r="N268" s="78" t="n"/>
    </row>
    <row r="269">
      <c r="K269" s="93" t="n"/>
      <c r="L269" s="78" t="n"/>
      <c r="M269" s="78" t="n"/>
      <c r="N269" s="78" t="n"/>
    </row>
    <row r="270">
      <c r="K270" s="93" t="n"/>
      <c r="L270" s="78" t="n"/>
      <c r="M270" s="78" t="n"/>
      <c r="N270" s="78" t="n"/>
    </row>
    <row r="271">
      <c r="K271" s="93" t="n"/>
      <c r="L271" s="78" t="n"/>
      <c r="M271" s="78" t="n"/>
      <c r="N271" s="78" t="n"/>
    </row>
    <row r="272">
      <c r="K272" s="93" t="n"/>
      <c r="L272" s="78" t="n"/>
      <c r="M272" s="78" t="n"/>
      <c r="N272" s="78" t="n"/>
    </row>
    <row r="273">
      <c r="K273" s="93" t="n"/>
      <c r="L273" s="78" t="n"/>
      <c r="M273" s="78" t="n"/>
      <c r="N273" s="78" t="n"/>
    </row>
    <row r="274">
      <c r="K274" s="93" t="n"/>
      <c r="L274" s="78" t="n"/>
      <c r="M274" s="78" t="n"/>
      <c r="N274" s="78" t="n"/>
    </row>
    <row r="275">
      <c r="K275" s="93" t="n"/>
      <c r="L275" s="78" t="n"/>
      <c r="M275" s="78" t="n"/>
      <c r="N275" s="78" t="n"/>
    </row>
    <row r="276">
      <c r="K276" s="93" t="n"/>
      <c r="L276" s="78" t="n"/>
      <c r="M276" s="78" t="n"/>
      <c r="N276" s="78" t="n"/>
    </row>
    <row r="277">
      <c r="K277" s="93" t="n"/>
      <c r="L277" s="78" t="n"/>
      <c r="M277" s="78" t="n"/>
      <c r="N277" s="78" t="n"/>
    </row>
    <row r="278">
      <c r="K278" s="93" t="n"/>
      <c r="L278" s="78" t="n"/>
      <c r="M278" s="78" t="n"/>
      <c r="N278" s="78" t="n"/>
    </row>
    <row r="279">
      <c r="K279" s="93" t="n"/>
      <c r="L279" s="78" t="n"/>
      <c r="M279" s="78" t="n"/>
      <c r="N279" s="78" t="n"/>
    </row>
    <row r="280">
      <c r="K280" s="93" t="n"/>
      <c r="L280" s="78" t="n"/>
      <c r="M280" s="78" t="n"/>
      <c r="N280" s="78" t="n"/>
    </row>
    <row r="281">
      <c r="K281" s="93" t="n"/>
      <c r="L281" s="78" t="n"/>
      <c r="M281" s="78" t="n"/>
      <c r="N281" s="78" t="n"/>
    </row>
    <row r="282">
      <c r="K282" s="93" t="n"/>
      <c r="L282" s="78" t="n"/>
      <c r="M282" s="78" t="n"/>
      <c r="N282" s="78" t="n"/>
    </row>
    <row r="283">
      <c r="K283" s="93" t="n"/>
      <c r="L283" s="78" t="n"/>
      <c r="M283" s="78" t="n"/>
      <c r="N283" s="78" t="n"/>
    </row>
    <row r="284">
      <c r="K284" s="93" t="n"/>
      <c r="L284" s="78" t="n"/>
      <c r="M284" s="78" t="n"/>
      <c r="N284" s="78" t="n"/>
    </row>
    <row r="285">
      <c r="K285" s="93" t="n"/>
      <c r="L285" s="78" t="n"/>
      <c r="M285" s="78" t="n"/>
      <c r="N285" s="78" t="n"/>
    </row>
    <row r="286">
      <c r="K286" s="93" t="n"/>
      <c r="L286" s="78" t="n"/>
      <c r="M286" s="78" t="n"/>
      <c r="N286" s="78" t="n"/>
    </row>
    <row r="287">
      <c r="K287" s="93" t="n"/>
      <c r="L287" s="78" t="n"/>
      <c r="M287" s="78" t="n"/>
      <c r="N287" s="78" t="n"/>
    </row>
    <row r="288">
      <c r="K288" s="93" t="n"/>
      <c r="L288" s="78" t="n"/>
      <c r="M288" s="78" t="n"/>
      <c r="N288" s="78" t="n"/>
    </row>
    <row r="289">
      <c r="K289" s="93" t="n"/>
      <c r="L289" s="78" t="n"/>
      <c r="M289" s="78" t="n"/>
      <c r="N289" s="78" t="n"/>
    </row>
    <row r="290">
      <c r="K290" s="93" t="n"/>
      <c r="L290" s="78" t="n"/>
      <c r="M290" s="78" t="n"/>
      <c r="N290" s="78" t="n"/>
    </row>
    <row r="291">
      <c r="K291" s="93" t="n"/>
      <c r="L291" s="78" t="n"/>
      <c r="M291" s="78" t="n"/>
      <c r="N291" s="78" t="n"/>
    </row>
    <row r="292">
      <c r="K292" s="93" t="n"/>
      <c r="L292" s="78" t="n"/>
      <c r="M292" s="78" t="n"/>
      <c r="N292" s="78" t="n"/>
    </row>
    <row r="293">
      <c r="K293" s="93" t="n"/>
      <c r="L293" s="78" t="n"/>
      <c r="M293" s="78" t="n"/>
      <c r="N293" s="78" t="n"/>
    </row>
    <row r="294">
      <c r="K294" s="93" t="n"/>
      <c r="L294" s="78" t="n"/>
      <c r="M294" s="78" t="n"/>
      <c r="N294" s="78" t="n"/>
    </row>
    <row r="295">
      <c r="K295" s="93" t="n"/>
      <c r="L295" s="78" t="n"/>
      <c r="M295" s="78" t="n"/>
      <c r="N295" s="78" t="n"/>
    </row>
    <row r="296">
      <c r="K296" s="93" t="n"/>
      <c r="L296" s="78" t="n"/>
      <c r="M296" s="78" t="n"/>
      <c r="N296" s="78" t="n"/>
    </row>
    <row r="297">
      <c r="K297" s="93" t="n"/>
      <c r="L297" s="78" t="n"/>
      <c r="M297" s="78" t="n"/>
      <c r="N297" s="78" t="n"/>
    </row>
    <row r="298">
      <c r="K298" s="93" t="n"/>
      <c r="L298" s="78" t="n"/>
      <c r="M298" s="78" t="n"/>
      <c r="N298" s="78" t="n"/>
    </row>
    <row r="299">
      <c r="K299" s="93" t="n"/>
      <c r="L299" s="78" t="n"/>
      <c r="M299" s="78" t="n"/>
      <c r="N299" s="78" t="n"/>
    </row>
    <row r="300">
      <c r="K300" s="93" t="n"/>
      <c r="L300" s="78" t="n"/>
      <c r="M300" s="78" t="n"/>
      <c r="N300" s="78" t="n"/>
    </row>
    <row r="301">
      <c r="K301" s="93" t="n"/>
      <c r="L301" s="78" t="n"/>
      <c r="M301" s="78" t="n"/>
      <c r="N301" s="78" t="n"/>
    </row>
    <row r="302">
      <c r="K302" s="93" t="n"/>
      <c r="L302" s="78" t="n"/>
      <c r="M302" s="78" t="n"/>
      <c r="N302" s="78" t="n"/>
    </row>
    <row r="303">
      <c r="K303" s="93" t="n"/>
      <c r="L303" s="78" t="n"/>
      <c r="M303" s="78" t="n"/>
      <c r="N303" s="78" t="n"/>
    </row>
    <row r="304">
      <c r="K304" s="93" t="n"/>
      <c r="L304" s="78" t="n"/>
      <c r="M304" s="78" t="n"/>
      <c r="N304" s="78" t="n"/>
    </row>
    <row r="305">
      <c r="K305" s="93" t="n"/>
      <c r="L305" s="78" t="n"/>
      <c r="M305" s="78" t="n"/>
      <c r="N305" s="78" t="n"/>
    </row>
    <row r="306">
      <c r="K306" s="93" t="n"/>
      <c r="L306" s="78" t="n"/>
      <c r="M306" s="78" t="n"/>
      <c r="N306" s="78" t="n"/>
    </row>
    <row r="307">
      <c r="K307" s="93" t="n"/>
      <c r="L307" s="78" t="n"/>
      <c r="M307" s="78" t="n"/>
      <c r="N307" s="78" t="n"/>
    </row>
    <row r="308">
      <c r="K308" s="93" t="n"/>
      <c r="L308" s="78" t="n"/>
      <c r="M308" s="78" t="n"/>
      <c r="N308" s="78" t="n"/>
    </row>
    <row r="309">
      <c r="K309" s="93" t="n"/>
      <c r="L309" s="78" t="n"/>
      <c r="M309" s="78" t="n"/>
      <c r="N309" s="78" t="n"/>
    </row>
    <row r="310">
      <c r="K310" s="93" t="n"/>
      <c r="L310" s="78" t="n"/>
      <c r="M310" s="78" t="n"/>
      <c r="N310" s="78" t="n"/>
    </row>
    <row r="311">
      <c r="K311" s="93" t="n"/>
      <c r="L311" s="78" t="n"/>
      <c r="M311" s="78" t="n"/>
      <c r="N311" s="78" t="n"/>
    </row>
    <row r="312">
      <c r="K312" s="93" t="n"/>
      <c r="L312" s="78" t="n"/>
      <c r="M312" s="78" t="n"/>
      <c r="N312" s="78" t="n"/>
    </row>
    <row r="313">
      <c r="K313" s="93" t="n"/>
      <c r="L313" s="78" t="n"/>
      <c r="M313" s="78" t="n"/>
      <c r="N313" s="78" t="n"/>
    </row>
    <row r="314">
      <c r="K314" s="93" t="n"/>
      <c r="L314" s="78" t="n"/>
      <c r="M314" s="78" t="n"/>
      <c r="N314" s="78" t="n"/>
    </row>
    <row r="315">
      <c r="K315" s="93" t="n"/>
      <c r="L315" s="78" t="n"/>
      <c r="M315" s="78" t="n"/>
      <c r="N315" s="78" t="n"/>
    </row>
    <row r="316">
      <c r="K316" s="93" t="n"/>
      <c r="L316" s="78" t="n"/>
      <c r="M316" s="78" t="n"/>
      <c r="N316" s="78" t="n"/>
    </row>
    <row r="317">
      <c r="K317" s="93" t="n"/>
      <c r="L317" s="78" t="n"/>
      <c r="M317" s="78" t="n"/>
      <c r="N317" s="78" t="n"/>
    </row>
    <row r="318">
      <c r="K318" s="93" t="n"/>
      <c r="L318" s="78" t="n"/>
      <c r="M318" s="78" t="n"/>
      <c r="N318" s="78" t="n"/>
    </row>
    <row r="319">
      <c r="K319" s="93" t="n"/>
      <c r="L319" s="78" t="n"/>
      <c r="M319" s="78" t="n"/>
      <c r="N319" s="78" t="n"/>
    </row>
    <row r="320">
      <c r="K320" s="93" t="n"/>
      <c r="L320" s="78" t="n"/>
      <c r="M320" s="78" t="n"/>
      <c r="N320" s="78" t="n"/>
    </row>
    <row r="321">
      <c r="K321" s="93" t="n"/>
      <c r="L321" s="78" t="n"/>
      <c r="M321" s="78" t="n"/>
      <c r="N321" s="78" t="n"/>
    </row>
    <row r="322">
      <c r="K322" s="93" t="n"/>
      <c r="L322" s="78" t="n"/>
      <c r="M322" s="78" t="n"/>
      <c r="N322" s="78" t="n"/>
    </row>
    <row r="323">
      <c r="K323" s="93" t="n"/>
      <c r="L323" s="78" t="n"/>
      <c r="M323" s="78" t="n"/>
      <c r="N323" s="78" t="n"/>
    </row>
    <row r="324">
      <c r="K324" s="93" t="n"/>
      <c r="L324" s="78" t="n"/>
      <c r="M324" s="78" t="n"/>
      <c r="N324" s="78" t="n"/>
    </row>
    <row r="325">
      <c r="K325" s="93" t="n"/>
      <c r="L325" s="78" t="n"/>
      <c r="M325" s="78" t="n"/>
      <c r="N325" s="78" t="n"/>
    </row>
    <row r="326">
      <c r="K326" s="93" t="n"/>
      <c r="L326" s="78" t="n"/>
      <c r="M326" s="78" t="n"/>
      <c r="N326" s="78" t="n"/>
    </row>
    <row r="327">
      <c r="K327" s="93" t="n"/>
      <c r="L327" s="78" t="n"/>
      <c r="M327" s="78" t="n"/>
      <c r="N327" s="78" t="n"/>
    </row>
    <row r="328">
      <c r="K328" s="93" t="n"/>
      <c r="L328" s="78" t="n"/>
      <c r="M328" s="78" t="n"/>
      <c r="N328" s="78" t="n"/>
    </row>
    <row r="329">
      <c r="K329" s="93" t="n"/>
      <c r="L329" s="78" t="n"/>
      <c r="M329" s="78" t="n"/>
      <c r="N329" s="78" t="n"/>
    </row>
    <row r="330">
      <c r="K330" s="93" t="n"/>
      <c r="L330" s="78" t="n"/>
      <c r="M330" s="78" t="n"/>
      <c r="N330" s="78" t="n"/>
    </row>
    <row r="331">
      <c r="K331" s="93" t="n"/>
      <c r="L331" s="78" t="n"/>
      <c r="M331" s="78" t="n"/>
      <c r="N331" s="78" t="n"/>
    </row>
    <row r="332">
      <c r="K332" s="93" t="n"/>
      <c r="L332" s="78" t="n"/>
      <c r="M332" s="78" t="n"/>
      <c r="N332" s="78" t="n"/>
    </row>
    <row r="333">
      <c r="K333" s="93" t="n"/>
      <c r="L333" s="78" t="n"/>
      <c r="M333" s="78" t="n"/>
      <c r="N333" s="78" t="n"/>
    </row>
    <row r="334">
      <c r="K334" s="93" t="n"/>
      <c r="L334" s="78" t="n"/>
      <c r="M334" s="78" t="n"/>
      <c r="N334" s="78" t="n"/>
    </row>
    <row r="335">
      <c r="K335" s="93" t="n"/>
      <c r="L335" s="78" t="n"/>
      <c r="M335" s="78" t="n"/>
      <c r="N335" s="78" t="n"/>
    </row>
    <row r="336">
      <c r="K336" s="93" t="n"/>
      <c r="L336" s="78" t="n"/>
      <c r="M336" s="78" t="n"/>
      <c r="N336" s="78" t="n"/>
    </row>
    <row r="337">
      <c r="K337" s="93" t="n"/>
      <c r="L337" s="78" t="n"/>
      <c r="M337" s="78" t="n"/>
      <c r="N337" s="78" t="n"/>
    </row>
    <row r="338">
      <c r="K338" s="93" t="n"/>
      <c r="L338" s="78" t="n"/>
      <c r="M338" s="78" t="n"/>
      <c r="N338" s="78" t="n"/>
    </row>
    <row r="339">
      <c r="K339" s="93" t="n"/>
      <c r="L339" s="78" t="n"/>
      <c r="M339" s="78" t="n"/>
      <c r="N339" s="78" t="n"/>
    </row>
    <row r="340">
      <c r="K340" s="93" t="n"/>
      <c r="L340" s="78" t="n"/>
      <c r="M340" s="78" t="n"/>
      <c r="N340" s="78" t="n"/>
    </row>
    <row r="341">
      <c r="K341" s="93" t="n"/>
      <c r="L341" s="78" t="n"/>
      <c r="M341" s="78" t="n"/>
      <c r="N341" s="78" t="n"/>
    </row>
    <row r="342">
      <c r="K342" s="93" t="n"/>
      <c r="L342" s="78" t="n"/>
      <c r="M342" s="78" t="n"/>
      <c r="N342" s="78" t="n"/>
    </row>
    <row r="343">
      <c r="K343" s="93" t="n"/>
      <c r="L343" s="78" t="n"/>
      <c r="M343" s="78" t="n"/>
      <c r="N343" s="78" t="n"/>
    </row>
    <row r="344">
      <c r="K344" s="93" t="n"/>
      <c r="L344" s="78" t="n"/>
      <c r="M344" s="78" t="n"/>
      <c r="N344" s="78" t="n"/>
    </row>
    <row r="345">
      <c r="K345" s="93" t="n"/>
      <c r="L345" s="78" t="n"/>
      <c r="M345" s="78" t="n"/>
      <c r="N345" s="78" t="n"/>
    </row>
    <row r="346">
      <c r="K346" s="93" t="n"/>
      <c r="L346" s="78" t="n"/>
      <c r="M346" s="78" t="n"/>
      <c r="N346" s="78" t="n"/>
    </row>
    <row r="347">
      <c r="K347" s="93" t="n"/>
      <c r="L347" s="78" t="n"/>
      <c r="M347" s="78" t="n"/>
      <c r="N347" s="78" t="n"/>
    </row>
    <row r="348">
      <c r="K348" s="93" t="n"/>
      <c r="L348" s="78" t="n"/>
      <c r="M348" s="78" t="n"/>
      <c r="N348" s="78" t="n"/>
    </row>
    <row r="349">
      <c r="K349" s="93" t="n"/>
      <c r="L349" s="78" t="n"/>
      <c r="M349" s="78" t="n"/>
      <c r="N349" s="78" t="n"/>
    </row>
    <row r="350">
      <c r="K350" s="93" t="n"/>
      <c r="L350" s="78" t="n"/>
      <c r="M350" s="78" t="n"/>
      <c r="N350" s="78" t="n"/>
    </row>
    <row r="351">
      <c r="K351" s="93" t="n"/>
      <c r="L351" s="78" t="n"/>
      <c r="M351" s="78" t="n"/>
      <c r="N351" s="78" t="n"/>
    </row>
    <row r="352">
      <c r="K352" s="93" t="n"/>
      <c r="L352" s="78" t="n"/>
      <c r="M352" s="78" t="n"/>
      <c r="N352" s="78" t="n"/>
    </row>
    <row r="353">
      <c r="K353" s="93" t="n"/>
      <c r="L353" s="78" t="n"/>
      <c r="M353" s="78" t="n"/>
      <c r="N353" s="78" t="n"/>
    </row>
    <row r="354">
      <c r="K354" s="93" t="n"/>
      <c r="L354" s="78" t="n"/>
      <c r="M354" s="78" t="n"/>
      <c r="N354" s="78" t="n"/>
    </row>
    <row r="355">
      <c r="K355" s="93" t="n"/>
      <c r="L355" s="78" t="n"/>
      <c r="M355" s="78" t="n"/>
      <c r="N355" s="78" t="n"/>
    </row>
    <row r="356">
      <c r="K356" s="93" t="n"/>
      <c r="L356" s="78" t="n"/>
      <c r="M356" s="78" t="n"/>
      <c r="N356" s="78" t="n"/>
    </row>
    <row r="357">
      <c r="K357" s="93" t="n"/>
      <c r="L357" s="78" t="n"/>
      <c r="M357" s="78" t="n"/>
      <c r="N357" s="78" t="n"/>
    </row>
    <row r="358">
      <c r="K358" s="93" t="n"/>
      <c r="L358" s="78" t="n"/>
      <c r="M358" s="78" t="n"/>
      <c r="N358" s="78" t="n"/>
    </row>
    <row r="359">
      <c r="K359" s="93" t="n"/>
      <c r="L359" s="78" t="n"/>
      <c r="M359" s="78" t="n"/>
      <c r="N359" s="78" t="n"/>
    </row>
    <row r="360">
      <c r="K360" s="93" t="n"/>
      <c r="L360" s="78" t="n"/>
      <c r="M360" s="78" t="n"/>
      <c r="N360" s="78" t="n"/>
    </row>
    <row r="361">
      <c r="K361" s="93" t="n"/>
      <c r="L361" s="78" t="n"/>
      <c r="M361" s="78" t="n"/>
      <c r="N361" s="78" t="n"/>
    </row>
    <row r="362">
      <c r="K362" s="93" t="n"/>
      <c r="L362" s="78" t="n"/>
      <c r="M362" s="78" t="n"/>
      <c r="N362" s="78" t="n"/>
    </row>
    <row r="363">
      <c r="K363" s="93" t="n"/>
      <c r="L363" s="78" t="n"/>
      <c r="M363" s="78" t="n"/>
      <c r="N363" s="78" t="n"/>
    </row>
    <row r="364">
      <c r="K364" s="93" t="n"/>
      <c r="L364" s="78" t="n"/>
      <c r="M364" s="78" t="n"/>
      <c r="N364" s="78" t="n"/>
    </row>
    <row r="365">
      <c r="K365" s="93" t="n"/>
      <c r="L365" s="78" t="n"/>
      <c r="M365" s="78" t="n"/>
      <c r="N365" s="78" t="n"/>
    </row>
    <row r="366">
      <c r="K366" s="93" t="n"/>
      <c r="L366" s="78" t="n"/>
      <c r="M366" s="78" t="n"/>
      <c r="N366" s="78" t="n"/>
    </row>
    <row r="367">
      <c r="K367" s="93" t="n"/>
      <c r="L367" s="78" t="n"/>
      <c r="M367" s="78" t="n"/>
      <c r="N367" s="78" t="n"/>
    </row>
    <row r="368">
      <c r="K368" s="93" t="n"/>
      <c r="L368" s="78" t="n"/>
      <c r="M368" s="78" t="n"/>
      <c r="N368" s="78" t="n"/>
    </row>
    <row r="369">
      <c r="K369" s="93" t="n"/>
      <c r="L369" s="78" t="n"/>
      <c r="M369" s="78" t="n"/>
      <c r="N369" s="78" t="n"/>
    </row>
    <row r="370">
      <c r="K370" s="93" t="n"/>
      <c r="L370" s="78" t="n"/>
      <c r="M370" s="78" t="n"/>
      <c r="N370" s="78" t="n"/>
    </row>
    <row r="371">
      <c r="K371" s="93" t="n"/>
      <c r="L371" s="78" t="n"/>
      <c r="M371" s="78" t="n"/>
      <c r="N371" s="78" t="n"/>
    </row>
    <row r="372">
      <c r="K372" s="93" t="n"/>
      <c r="L372" s="78" t="n"/>
      <c r="M372" s="78" t="n"/>
      <c r="N372" s="78" t="n"/>
    </row>
    <row r="373">
      <c r="K373" s="93" t="n"/>
      <c r="L373" s="78" t="n"/>
      <c r="M373" s="78" t="n"/>
      <c r="N373" s="78" t="n"/>
    </row>
    <row r="374">
      <c r="K374" s="93" t="n"/>
      <c r="L374" s="78" t="n"/>
      <c r="M374" s="78" t="n"/>
      <c r="N374" s="78" t="n"/>
    </row>
    <row r="375">
      <c r="K375" s="93" t="n"/>
      <c r="L375" s="78" t="n"/>
      <c r="M375" s="78" t="n"/>
      <c r="N375" s="78" t="n"/>
    </row>
    <row r="376">
      <c r="K376" s="93" t="n"/>
      <c r="L376" s="78" t="n"/>
      <c r="M376" s="78" t="n"/>
      <c r="N376" s="78" t="n"/>
    </row>
    <row r="377">
      <c r="K377" s="93" t="n"/>
      <c r="L377" s="78" t="n"/>
      <c r="M377" s="78" t="n"/>
      <c r="N377" s="78" t="n"/>
    </row>
    <row r="378">
      <c r="K378" s="93" t="n"/>
      <c r="L378" s="78" t="n"/>
      <c r="M378" s="78" t="n"/>
      <c r="N378" s="78" t="n"/>
    </row>
    <row r="379">
      <c r="K379" s="93" t="n"/>
      <c r="L379" s="78" t="n"/>
      <c r="M379" s="78" t="n"/>
      <c r="N379" s="78" t="n"/>
    </row>
    <row r="380">
      <c r="K380" s="93" t="n"/>
      <c r="L380" s="78" t="n"/>
      <c r="M380" s="78" t="n"/>
      <c r="N380" s="78" t="n"/>
    </row>
    <row r="381">
      <c r="K381" s="93" t="n"/>
      <c r="L381" s="78" t="n"/>
      <c r="M381" s="78" t="n"/>
      <c r="N381" s="78" t="n"/>
    </row>
    <row r="382">
      <c r="K382" s="93" t="n"/>
      <c r="L382" s="78" t="n"/>
      <c r="M382" s="78" t="n"/>
      <c r="N382" s="78" t="n"/>
    </row>
    <row r="383">
      <c r="K383" s="93" t="n"/>
      <c r="L383" s="78" t="n"/>
      <c r="M383" s="78" t="n"/>
      <c r="N383" s="78" t="n"/>
    </row>
    <row r="384">
      <c r="K384" s="93" t="n"/>
      <c r="L384" s="78" t="n"/>
      <c r="M384" s="78" t="n"/>
      <c r="N384" s="78" t="n"/>
    </row>
    <row r="385">
      <c r="K385" s="93" t="n"/>
      <c r="L385" s="78" t="n"/>
      <c r="M385" s="78" t="n"/>
      <c r="N385" s="78" t="n"/>
    </row>
    <row r="386">
      <c r="K386" s="93" t="n"/>
      <c r="L386" s="78" t="n"/>
      <c r="M386" s="78" t="n"/>
      <c r="N386" s="78" t="n"/>
    </row>
    <row r="387">
      <c r="K387" s="93" t="n"/>
      <c r="L387" s="78" t="n"/>
      <c r="M387" s="78" t="n"/>
      <c r="N387" s="78" t="n"/>
    </row>
    <row r="388">
      <c r="K388" s="93" t="n"/>
      <c r="L388" s="78" t="n"/>
      <c r="M388" s="78" t="n"/>
      <c r="N388" s="78" t="n"/>
    </row>
    <row r="389">
      <c r="K389" s="93" t="n"/>
      <c r="L389" s="78" t="n"/>
      <c r="M389" s="78" t="n"/>
      <c r="N389" s="78" t="n"/>
    </row>
    <row r="390">
      <c r="K390" s="93" t="n"/>
      <c r="L390" s="78" t="n"/>
      <c r="M390" s="78" t="n"/>
      <c r="N390" s="78" t="n"/>
    </row>
    <row r="391">
      <c r="K391" s="93" t="n"/>
      <c r="L391" s="78" t="n"/>
      <c r="M391" s="78" t="n"/>
      <c r="N391" s="78" t="n"/>
    </row>
    <row r="392">
      <c r="K392" s="93" t="n"/>
      <c r="L392" s="78" t="n"/>
      <c r="M392" s="78" t="n"/>
      <c r="N392" s="78" t="n"/>
    </row>
    <row r="393">
      <c r="K393" s="93" t="n"/>
      <c r="L393" s="78" t="n"/>
      <c r="M393" s="78" t="n"/>
      <c r="N393" s="78" t="n"/>
    </row>
    <row r="394">
      <c r="K394" s="93" t="n"/>
      <c r="L394" s="78" t="n"/>
      <c r="M394" s="78" t="n"/>
      <c r="N394" s="78" t="n"/>
    </row>
    <row r="395">
      <c r="K395" s="93" t="n"/>
      <c r="L395" s="78" t="n"/>
      <c r="M395" s="78" t="n"/>
      <c r="N395" s="78" t="n"/>
    </row>
    <row r="396">
      <c r="K396" s="93" t="n"/>
      <c r="L396" s="78" t="n"/>
      <c r="M396" s="78" t="n"/>
      <c r="N396" s="78" t="n"/>
    </row>
    <row r="397">
      <c r="K397" s="93" t="n"/>
      <c r="L397" s="78" t="n"/>
      <c r="M397" s="78" t="n"/>
      <c r="N397" s="78" t="n"/>
    </row>
    <row r="398">
      <c r="K398" s="93" t="n"/>
      <c r="L398" s="78" t="n"/>
      <c r="M398" s="78" t="n"/>
      <c r="N398" s="78" t="n"/>
    </row>
    <row r="399">
      <c r="K399" s="93" t="n"/>
      <c r="L399" s="78" t="n"/>
      <c r="M399" s="78" t="n"/>
      <c r="N399" s="78" t="n"/>
    </row>
    <row r="400">
      <c r="K400" s="93" t="n"/>
      <c r="L400" s="78" t="n"/>
      <c r="M400" s="78" t="n"/>
      <c r="N400" s="78" t="n"/>
    </row>
    <row r="401">
      <c r="K401" s="93" t="n"/>
      <c r="L401" s="78" t="n"/>
      <c r="M401" s="78" t="n"/>
      <c r="N401" s="78" t="n"/>
    </row>
    <row r="402">
      <c r="K402" s="93" t="n"/>
      <c r="L402" s="78" t="n"/>
      <c r="M402" s="78" t="n"/>
      <c r="N402" s="78" t="n"/>
    </row>
    <row r="403">
      <c r="K403" s="93" t="n"/>
      <c r="L403" s="78" t="n"/>
      <c r="M403" s="78" t="n"/>
      <c r="N403" s="78" t="n"/>
    </row>
    <row r="404">
      <c r="K404" s="93" t="n"/>
      <c r="L404" s="78" t="n"/>
      <c r="M404" s="78" t="n"/>
      <c r="N404" s="78" t="n"/>
    </row>
    <row r="405">
      <c r="K405" s="93" t="n"/>
      <c r="L405" s="78" t="n"/>
      <c r="M405" s="78" t="n"/>
      <c r="N405" s="78" t="n"/>
    </row>
    <row r="406">
      <c r="K406" s="93" t="n"/>
      <c r="L406" s="78" t="n"/>
      <c r="M406" s="78" t="n"/>
      <c r="N406" s="78" t="n"/>
    </row>
    <row r="407">
      <c r="K407" s="93" t="n"/>
      <c r="L407" s="78" t="n"/>
      <c r="M407" s="78" t="n"/>
      <c r="N407" s="78" t="n"/>
    </row>
    <row r="408">
      <c r="K408" s="93" t="n"/>
      <c r="L408" s="78" t="n"/>
      <c r="M408" s="78" t="n"/>
      <c r="N408" s="78" t="n"/>
    </row>
    <row r="409">
      <c r="K409" s="93" t="n"/>
      <c r="L409" s="78" t="n"/>
      <c r="M409" s="78" t="n"/>
      <c r="N409" s="78" t="n"/>
    </row>
    <row r="410">
      <c r="K410" s="93" t="n"/>
      <c r="L410" s="78" t="n"/>
      <c r="M410" s="78" t="n"/>
      <c r="N410" s="78" t="n"/>
    </row>
    <row r="411">
      <c r="K411" s="93" t="n"/>
      <c r="L411" s="78" t="n"/>
      <c r="M411" s="78" t="n"/>
      <c r="N411" s="78" t="n"/>
    </row>
    <row r="412">
      <c r="K412" s="93" t="n"/>
      <c r="L412" s="78" t="n"/>
      <c r="M412" s="78" t="n"/>
      <c r="N412" s="78" t="n"/>
    </row>
    <row r="413">
      <c r="K413" s="93" t="n"/>
      <c r="L413" s="78" t="n"/>
      <c r="M413" s="78" t="n"/>
      <c r="N413" s="78" t="n"/>
    </row>
    <row r="414">
      <c r="K414" s="93" t="n"/>
      <c r="L414" s="78" t="n"/>
      <c r="M414" s="78" t="n"/>
      <c r="N414" s="78" t="n"/>
    </row>
    <row r="415">
      <c r="K415" s="93" t="n"/>
      <c r="L415" s="78" t="n"/>
      <c r="M415" s="78" t="n"/>
      <c r="N415" s="78" t="n"/>
    </row>
    <row r="416">
      <c r="K416" s="93" t="n"/>
      <c r="L416" s="78" t="n"/>
      <c r="M416" s="78" t="n"/>
      <c r="N416" s="78" t="n"/>
    </row>
    <row r="417">
      <c r="K417" s="93" t="n"/>
      <c r="L417" s="78" t="n"/>
      <c r="M417" s="78" t="n"/>
      <c r="N417" s="78" t="n"/>
    </row>
    <row r="418">
      <c r="K418" s="93" t="n"/>
      <c r="L418" s="78" t="n"/>
      <c r="M418" s="78" t="n"/>
      <c r="N418" s="78" t="n"/>
    </row>
    <row r="419">
      <c r="K419" s="93" t="n"/>
      <c r="L419" s="78" t="n"/>
      <c r="M419" s="78" t="n"/>
      <c r="N419" s="78" t="n"/>
    </row>
    <row r="420">
      <c r="K420" s="93" t="n"/>
      <c r="L420" s="78" t="n"/>
      <c r="M420" s="78" t="n"/>
      <c r="N420" s="78" t="n"/>
    </row>
    <row r="421">
      <c r="K421" s="93" t="n"/>
      <c r="L421" s="78" t="n"/>
      <c r="M421" s="78" t="n"/>
      <c r="N421" s="78" t="n"/>
    </row>
    <row r="422">
      <c r="K422" s="93" t="n"/>
      <c r="L422" s="78" t="n"/>
      <c r="M422" s="78" t="n"/>
      <c r="N422" s="78" t="n"/>
    </row>
    <row r="423">
      <c r="K423" s="93" t="n"/>
      <c r="L423" s="78" t="n"/>
      <c r="M423" s="78" t="n"/>
      <c r="N423" s="78" t="n"/>
    </row>
    <row r="424">
      <c r="K424" s="93" t="n"/>
      <c r="L424" s="78" t="n"/>
      <c r="M424" s="78" t="n"/>
      <c r="N424" s="78" t="n"/>
    </row>
    <row r="425">
      <c r="K425" s="93" t="n"/>
      <c r="L425" s="78" t="n"/>
      <c r="M425" s="78" t="n"/>
      <c r="N425" s="78" t="n"/>
    </row>
    <row r="426">
      <c r="K426" s="93" t="n"/>
      <c r="L426" s="78" t="n"/>
      <c r="M426" s="78" t="n"/>
      <c r="N426" s="78" t="n"/>
    </row>
    <row r="427">
      <c r="K427" s="93" t="n"/>
      <c r="L427" s="78" t="n"/>
      <c r="M427" s="78" t="n"/>
      <c r="N427" s="78" t="n"/>
    </row>
    <row r="428">
      <c r="K428" s="93" t="n"/>
      <c r="L428" s="78" t="n"/>
      <c r="M428" s="78" t="n"/>
      <c r="N428" s="78" t="n"/>
    </row>
    <row r="429">
      <c r="K429" s="93" t="n"/>
      <c r="L429" s="78" t="n"/>
      <c r="M429" s="78" t="n"/>
      <c r="N429" s="78" t="n"/>
    </row>
    <row r="430">
      <c r="K430" s="93" t="n"/>
      <c r="L430" s="78" t="n"/>
      <c r="M430" s="78" t="n"/>
      <c r="N430" s="78" t="n"/>
    </row>
    <row r="431">
      <c r="K431" s="93" t="n"/>
      <c r="L431" s="78" t="n"/>
      <c r="M431" s="78" t="n"/>
      <c r="N431" s="78" t="n"/>
    </row>
    <row r="432">
      <c r="K432" s="93" t="n"/>
      <c r="L432" s="78" t="n"/>
      <c r="M432" s="78" t="n"/>
      <c r="N432" s="78" t="n"/>
    </row>
    <row r="433">
      <c r="K433" s="93" t="n"/>
      <c r="L433" s="78" t="n"/>
      <c r="M433" s="78" t="n"/>
      <c r="N433" s="78" t="n"/>
    </row>
    <row r="434">
      <c r="K434" s="93" t="n"/>
      <c r="L434" s="78" t="n"/>
      <c r="M434" s="78" t="n"/>
      <c r="N434" s="78" t="n"/>
    </row>
    <row r="435">
      <c r="K435" s="93" t="n"/>
      <c r="L435" s="78" t="n"/>
      <c r="M435" s="78" t="n"/>
      <c r="N435" s="78" t="n"/>
    </row>
    <row r="436">
      <c r="K436" s="93" t="n"/>
      <c r="L436" s="78" t="n"/>
      <c r="M436" s="78" t="n"/>
      <c r="N436" s="78" t="n"/>
    </row>
    <row r="437">
      <c r="K437" s="93" t="n"/>
      <c r="L437" s="78" t="n"/>
      <c r="M437" s="78" t="n"/>
      <c r="N437" s="78" t="n"/>
    </row>
    <row r="438">
      <c r="K438" s="93" t="n"/>
      <c r="L438" s="78" t="n"/>
      <c r="M438" s="78" t="n"/>
      <c r="N438" s="78" t="n"/>
    </row>
    <row r="439">
      <c r="K439" s="93" t="n"/>
      <c r="L439" s="78" t="n"/>
      <c r="M439" s="78" t="n"/>
      <c r="N439" s="78" t="n"/>
    </row>
    <row r="440">
      <c r="K440" s="93" t="n"/>
      <c r="L440" s="78" t="n"/>
      <c r="M440" s="78" t="n"/>
      <c r="N440" s="78" t="n"/>
    </row>
    <row r="441">
      <c r="K441" s="93" t="n"/>
      <c r="L441" s="78" t="n"/>
      <c r="M441" s="78" t="n"/>
      <c r="N441" s="78" t="n"/>
    </row>
    <row r="442">
      <c r="K442" s="93" t="n"/>
      <c r="L442" s="78" t="n"/>
      <c r="M442" s="78" t="n"/>
      <c r="N442" s="78" t="n"/>
    </row>
    <row r="443">
      <c r="K443" s="93" t="n"/>
      <c r="L443" s="78" t="n"/>
      <c r="M443" s="78" t="n"/>
      <c r="N443" s="78" t="n"/>
    </row>
    <row r="444">
      <c r="K444" s="93" t="n"/>
      <c r="L444" s="78" t="n"/>
      <c r="M444" s="78" t="n"/>
      <c r="N444" s="78" t="n"/>
    </row>
    <row r="445">
      <c r="K445" s="93" t="n"/>
      <c r="L445" s="78" t="n"/>
      <c r="M445" s="78" t="n"/>
      <c r="N445" s="78" t="n"/>
    </row>
    <row r="446">
      <c r="K446" s="93" t="n"/>
      <c r="L446" s="78" t="n"/>
      <c r="M446" s="78" t="n"/>
      <c r="N446" s="78" t="n"/>
    </row>
    <row r="447">
      <c r="K447" s="93" t="n"/>
      <c r="L447" s="78" t="n"/>
      <c r="M447" s="78" t="n"/>
      <c r="N447" s="78" t="n"/>
    </row>
    <row r="448">
      <c r="K448" s="93" t="n"/>
      <c r="L448" s="78" t="n"/>
      <c r="M448" s="78" t="n"/>
      <c r="N448" s="78" t="n"/>
    </row>
    <row r="449">
      <c r="K449" s="93" t="n"/>
      <c r="L449" s="78" t="n"/>
      <c r="M449" s="78" t="n"/>
      <c r="N449" s="78" t="n"/>
    </row>
    <row r="450">
      <c r="K450" s="93" t="n"/>
      <c r="L450" s="78" t="n"/>
      <c r="M450" s="78" t="n"/>
      <c r="N450" s="78" t="n"/>
    </row>
    <row r="451">
      <c r="K451" s="93" t="n"/>
      <c r="L451" s="78" t="n"/>
      <c r="M451" s="78" t="n"/>
      <c r="N451" s="78" t="n"/>
    </row>
    <row r="452">
      <c r="K452" s="93" t="n"/>
      <c r="L452" s="78" t="n"/>
      <c r="M452" s="78" t="n"/>
      <c r="N452" s="78" t="n"/>
    </row>
    <row r="453">
      <c r="K453" s="93" t="n"/>
      <c r="L453" s="78" t="n"/>
      <c r="M453" s="78" t="n"/>
      <c r="N453" s="78" t="n"/>
    </row>
    <row r="454">
      <c r="K454" s="93" t="n"/>
      <c r="L454" s="78" t="n"/>
      <c r="M454" s="78" t="n"/>
      <c r="N454" s="78" t="n"/>
    </row>
    <row r="455">
      <c r="K455" s="93" t="n"/>
      <c r="L455" s="78" t="n"/>
      <c r="M455" s="78" t="n"/>
      <c r="N455" s="78" t="n"/>
    </row>
    <row r="456">
      <c r="K456" s="93" t="n"/>
      <c r="L456" s="78" t="n"/>
      <c r="M456" s="78" t="n"/>
      <c r="N456" s="78" t="n"/>
    </row>
    <row r="457">
      <c r="K457" s="93" t="n"/>
      <c r="L457" s="78" t="n"/>
      <c r="M457" s="78" t="n"/>
      <c r="N457" s="78" t="n"/>
    </row>
    <row r="458">
      <c r="K458" s="93" t="n"/>
      <c r="L458" s="78" t="n"/>
      <c r="M458" s="78" t="n"/>
      <c r="N458" s="78" t="n"/>
    </row>
    <row r="459">
      <c r="K459" s="93" t="n"/>
      <c r="L459" s="78" t="n"/>
      <c r="M459" s="78" t="n"/>
      <c r="N459" s="78" t="n"/>
    </row>
    <row r="460">
      <c r="K460" s="93" t="n"/>
      <c r="L460" s="78" t="n"/>
      <c r="M460" s="78" t="n"/>
      <c r="N460" s="78" t="n"/>
    </row>
    <row r="461">
      <c r="K461" s="93" t="n"/>
      <c r="L461" s="78" t="n"/>
      <c r="M461" s="78" t="n"/>
      <c r="N461" s="78" t="n"/>
    </row>
    <row r="462">
      <c r="K462" s="93" t="n"/>
      <c r="L462" s="78" t="n"/>
      <c r="M462" s="78" t="n"/>
      <c r="N462" s="78" t="n"/>
    </row>
    <row r="463">
      <c r="K463" s="93" t="n"/>
      <c r="L463" s="78" t="n"/>
      <c r="M463" s="78" t="n"/>
      <c r="N463" s="78" t="n"/>
    </row>
    <row r="464">
      <c r="K464" s="93" t="n"/>
      <c r="L464" s="78" t="n"/>
      <c r="M464" s="78" t="n"/>
      <c r="N464" s="78" t="n"/>
    </row>
    <row r="465">
      <c r="K465" s="93" t="n"/>
      <c r="L465" s="78" t="n"/>
      <c r="M465" s="78" t="n"/>
      <c r="N465" s="78" t="n"/>
    </row>
    <row r="466">
      <c r="K466" s="93" t="n"/>
      <c r="L466" s="78" t="n"/>
      <c r="M466" s="78" t="n"/>
      <c r="N466" s="78" t="n"/>
    </row>
    <row r="467">
      <c r="K467" s="93" t="n"/>
      <c r="L467" s="78" t="n"/>
      <c r="M467" s="78" t="n"/>
      <c r="N467" s="78" t="n"/>
    </row>
    <row r="468">
      <c r="K468" s="93" t="n"/>
      <c r="L468" s="78" t="n"/>
      <c r="M468" s="78" t="n"/>
      <c r="N468" s="78" t="n"/>
    </row>
    <row r="469">
      <c r="K469" s="93" t="n"/>
      <c r="L469" s="78" t="n"/>
      <c r="M469" s="78" t="n"/>
      <c r="N469" s="78" t="n"/>
    </row>
    <row r="470">
      <c r="K470" s="93" t="n"/>
      <c r="L470" s="78" t="n"/>
      <c r="M470" s="78" t="n"/>
      <c r="N470" s="78" t="n"/>
    </row>
    <row r="471">
      <c r="K471" s="93" t="n"/>
      <c r="L471" s="78" t="n"/>
      <c r="M471" s="78" t="n"/>
      <c r="N471" s="78" t="n"/>
    </row>
    <row r="472">
      <c r="K472" s="93" t="n"/>
      <c r="L472" s="78" t="n"/>
      <c r="M472" s="78" t="n"/>
      <c r="N472" s="78" t="n"/>
    </row>
    <row r="473">
      <c r="K473" s="93" t="n"/>
      <c r="L473" s="78" t="n"/>
      <c r="M473" s="78" t="n"/>
      <c r="N473" s="78" t="n"/>
    </row>
    <row r="474">
      <c r="K474" s="93" t="n"/>
      <c r="L474" s="78" t="n"/>
      <c r="M474" s="78" t="n"/>
      <c r="N474" s="78" t="n"/>
    </row>
    <row r="475">
      <c r="K475" s="93" t="n"/>
      <c r="L475" s="78" t="n"/>
      <c r="M475" s="78" t="n"/>
      <c r="N475" s="78" t="n"/>
    </row>
    <row r="476">
      <c r="K476" s="93" t="n"/>
      <c r="L476" s="78" t="n"/>
      <c r="M476" s="78" t="n"/>
      <c r="N476" s="78" t="n"/>
    </row>
    <row r="477">
      <c r="K477" s="93" t="n"/>
      <c r="L477" s="78" t="n"/>
      <c r="M477" s="78" t="n"/>
      <c r="N477" s="78" t="n"/>
    </row>
    <row r="478">
      <c r="K478" s="93" t="n"/>
      <c r="L478" s="78" t="n"/>
      <c r="M478" s="78" t="n"/>
      <c r="N478" s="78" t="n"/>
    </row>
    <row r="479">
      <c r="K479" s="93" t="n"/>
      <c r="L479" s="78" t="n"/>
      <c r="M479" s="78" t="n"/>
      <c r="N479" s="78" t="n"/>
    </row>
    <row r="480">
      <c r="K480" s="93" t="n"/>
      <c r="L480" s="78" t="n"/>
      <c r="M480" s="78" t="n"/>
      <c r="N480" s="78" t="n"/>
    </row>
    <row r="481">
      <c r="K481" s="93" t="n"/>
      <c r="L481" s="78" t="n"/>
      <c r="M481" s="78" t="n"/>
      <c r="N481" s="78" t="n"/>
    </row>
    <row r="482">
      <c r="K482" s="93" t="n"/>
      <c r="L482" s="78" t="n"/>
      <c r="M482" s="78" t="n"/>
      <c r="N482" s="78" t="n"/>
    </row>
    <row r="483">
      <c r="K483" s="93" t="n"/>
      <c r="L483" s="78" t="n"/>
      <c r="M483" s="78" t="n"/>
      <c r="N483" s="78" t="n"/>
    </row>
    <row r="484">
      <c r="K484" s="93" t="n"/>
      <c r="L484" s="78" t="n"/>
      <c r="M484" s="78" t="n"/>
      <c r="N484" s="78" t="n"/>
    </row>
    <row r="485">
      <c r="K485" s="93" t="n"/>
      <c r="L485" s="78" t="n"/>
      <c r="M485" s="78" t="n"/>
      <c r="N485" s="78" t="n"/>
    </row>
    <row r="486">
      <c r="K486" s="93" t="n"/>
      <c r="L486" s="78" t="n"/>
      <c r="M486" s="78" t="n"/>
      <c r="N486" s="78" t="n"/>
    </row>
    <row r="487">
      <c r="K487" s="93" t="n"/>
      <c r="L487" s="78" t="n"/>
      <c r="M487" s="78" t="n"/>
      <c r="N487" s="78" t="n"/>
    </row>
    <row r="488">
      <c r="K488" s="93" t="n"/>
      <c r="L488" s="78" t="n"/>
      <c r="M488" s="78" t="n"/>
      <c r="N488" s="78" t="n"/>
    </row>
    <row r="489">
      <c r="K489" s="93" t="n"/>
      <c r="L489" s="78" t="n"/>
      <c r="M489" s="78" t="n"/>
      <c r="N489" s="78" t="n"/>
    </row>
    <row r="490">
      <c r="K490" s="93" t="n"/>
      <c r="L490" s="78" t="n"/>
      <c r="M490" s="78" t="n"/>
      <c r="N490" s="78" t="n"/>
    </row>
    <row r="491">
      <c r="K491" s="93" t="n"/>
      <c r="L491" s="78" t="n"/>
      <c r="M491" s="78" t="n"/>
      <c r="N491" s="78" t="n"/>
    </row>
    <row r="492">
      <c r="K492" s="93" t="n"/>
      <c r="L492" s="78" t="n"/>
      <c r="M492" s="78" t="n"/>
      <c r="N492" s="78" t="n"/>
    </row>
    <row r="493">
      <c r="K493" s="93" t="n"/>
      <c r="L493" s="78" t="n"/>
      <c r="M493" s="78" t="n"/>
      <c r="N493" s="78" t="n"/>
    </row>
    <row r="494">
      <c r="K494" s="93" t="n"/>
      <c r="L494" s="78" t="n"/>
      <c r="M494" s="78" t="n"/>
      <c r="N494" s="78" t="n"/>
    </row>
    <row r="495">
      <c r="K495" s="93" t="n"/>
      <c r="L495" s="78" t="n"/>
      <c r="M495" s="78" t="n"/>
      <c r="N495" s="78" t="n"/>
    </row>
    <row r="496">
      <c r="K496" s="93" t="n"/>
      <c r="L496" s="78" t="n"/>
      <c r="M496" s="78" t="n"/>
      <c r="N496" s="78" t="n"/>
    </row>
    <row r="497">
      <c r="K497" s="93" t="n"/>
      <c r="L497" s="78" t="n"/>
      <c r="M497" s="78" t="n"/>
      <c r="N497" s="78" t="n"/>
    </row>
    <row r="498">
      <c r="K498" s="93" t="n"/>
      <c r="L498" s="78" t="n"/>
      <c r="M498" s="78" t="n"/>
      <c r="N498" s="78" t="n"/>
    </row>
    <row r="499">
      <c r="K499" s="93" t="n"/>
      <c r="L499" s="78" t="n"/>
      <c r="M499" s="78" t="n"/>
      <c r="N499" s="78" t="n"/>
    </row>
    <row r="500">
      <c r="K500" s="93" t="n"/>
      <c r="L500" s="78" t="n"/>
      <c r="M500" s="78" t="n"/>
      <c r="N500" s="78" t="n"/>
    </row>
    <row r="501">
      <c r="K501" s="93" t="n"/>
      <c r="L501" s="78" t="n"/>
      <c r="M501" s="78" t="n"/>
      <c r="N501" s="78" t="n"/>
    </row>
    <row r="502">
      <c r="K502" s="93" t="n"/>
      <c r="L502" s="78" t="n"/>
      <c r="M502" s="78" t="n"/>
      <c r="N502" s="78" t="n"/>
    </row>
    <row r="503">
      <c r="K503" s="93" t="n"/>
      <c r="L503" s="78" t="n"/>
      <c r="M503" s="78" t="n"/>
      <c r="N503" s="78" t="n"/>
    </row>
    <row r="504">
      <c r="K504" s="93" t="n"/>
      <c r="L504" s="78" t="n"/>
      <c r="M504" s="78" t="n"/>
      <c r="N504" s="78" t="n"/>
    </row>
    <row r="505">
      <c r="K505" s="93" t="n"/>
      <c r="L505" s="78" t="n"/>
      <c r="M505" s="78" t="n"/>
      <c r="N505" s="78" t="n"/>
    </row>
    <row r="506">
      <c r="K506" s="93" t="n"/>
      <c r="L506" s="78" t="n"/>
      <c r="M506" s="78" t="n"/>
      <c r="N506" s="78" t="n"/>
    </row>
    <row r="507">
      <c r="K507" s="93" t="n"/>
      <c r="L507" s="78" t="n"/>
      <c r="M507" s="78" t="n"/>
      <c r="N507" s="78" t="n"/>
    </row>
    <row r="508">
      <c r="K508" s="93" t="n"/>
      <c r="L508" s="78" t="n"/>
      <c r="M508" s="78" t="n"/>
      <c r="N508" s="78" t="n"/>
    </row>
    <row r="509">
      <c r="K509" s="93" t="n"/>
      <c r="L509" s="78" t="n"/>
      <c r="M509" s="78" t="n"/>
      <c r="N509" s="78" t="n"/>
    </row>
    <row r="510">
      <c r="K510" s="93" t="n"/>
      <c r="L510" s="78" t="n"/>
      <c r="M510" s="78" t="n"/>
      <c r="N510" s="78" t="n"/>
    </row>
    <row r="511">
      <c r="K511" s="93" t="n"/>
      <c r="L511" s="78" t="n"/>
      <c r="M511" s="78" t="n"/>
      <c r="N511" s="78" t="n"/>
    </row>
    <row r="512">
      <c r="K512" s="93" t="n"/>
      <c r="L512" s="78" t="n"/>
      <c r="M512" s="78" t="n"/>
      <c r="N512" s="78" t="n"/>
    </row>
    <row r="513">
      <c r="K513" s="93" t="n"/>
      <c r="L513" s="78" t="n"/>
      <c r="M513" s="78" t="n"/>
      <c r="N513" s="78" t="n"/>
    </row>
    <row r="514">
      <c r="K514" s="93" t="n"/>
      <c r="L514" s="78" t="n"/>
      <c r="M514" s="78" t="n"/>
      <c r="N514" s="78" t="n"/>
    </row>
    <row r="515">
      <c r="K515" s="93" t="n"/>
      <c r="L515" s="78" t="n"/>
      <c r="M515" s="78" t="n"/>
      <c r="N515" s="78" t="n"/>
    </row>
    <row r="516">
      <c r="K516" s="93" t="n"/>
      <c r="L516" s="78" t="n"/>
      <c r="M516" s="78" t="n"/>
      <c r="N516" s="78" t="n"/>
    </row>
    <row r="517">
      <c r="K517" s="93" t="n"/>
      <c r="L517" s="78" t="n"/>
      <c r="M517" s="78" t="n"/>
      <c r="N517" s="78" t="n"/>
    </row>
    <row r="518">
      <c r="K518" s="93" t="n"/>
      <c r="L518" s="78" t="n"/>
      <c r="M518" s="78" t="n"/>
      <c r="N518" s="78" t="n"/>
    </row>
    <row r="519">
      <c r="K519" s="93" t="n"/>
      <c r="L519" s="78" t="n"/>
      <c r="M519" s="78" t="n"/>
      <c r="N519" s="78" t="n"/>
    </row>
    <row r="520">
      <c r="K520" s="93" t="n"/>
      <c r="L520" s="78" t="n"/>
      <c r="M520" s="78" t="n"/>
      <c r="N520" s="78" t="n"/>
    </row>
    <row r="521">
      <c r="K521" s="93" t="n"/>
      <c r="L521" s="78" t="n"/>
      <c r="M521" s="78" t="n"/>
      <c r="N521" s="78" t="n"/>
    </row>
    <row r="522">
      <c r="K522" s="93" t="n"/>
      <c r="L522" s="78" t="n"/>
      <c r="M522" s="78" t="n"/>
      <c r="N522" s="78" t="n"/>
    </row>
    <row r="523">
      <c r="K523" s="93" t="n"/>
      <c r="L523" s="78" t="n"/>
      <c r="M523" s="78" t="n"/>
      <c r="N523" s="78" t="n"/>
    </row>
    <row r="524">
      <c r="K524" s="93" t="n"/>
      <c r="L524" s="78" t="n"/>
      <c r="M524" s="78" t="n"/>
      <c r="N524" s="78" t="n"/>
    </row>
    <row r="525">
      <c r="K525" s="93" t="n"/>
      <c r="L525" s="78" t="n"/>
      <c r="M525" s="78" t="n"/>
      <c r="N525" s="78" t="n"/>
    </row>
    <row r="526">
      <c r="K526" s="93" t="n"/>
      <c r="L526" s="78" t="n"/>
      <c r="M526" s="78" t="n"/>
      <c r="N526" s="78" t="n"/>
    </row>
    <row r="527">
      <c r="K527" s="93" t="n"/>
      <c r="L527" s="78" t="n"/>
      <c r="M527" s="78" t="n"/>
      <c r="N527" s="78" t="n"/>
    </row>
    <row r="528">
      <c r="K528" s="93" t="n"/>
      <c r="L528" s="78" t="n"/>
      <c r="M528" s="78" t="n"/>
      <c r="N528" s="78" t="n"/>
    </row>
    <row r="529">
      <c r="K529" s="93" t="n"/>
      <c r="L529" s="78" t="n"/>
      <c r="M529" s="78" t="n"/>
      <c r="N529" s="78" t="n"/>
    </row>
    <row r="530">
      <c r="K530" s="93" t="n"/>
      <c r="L530" s="78" t="n"/>
      <c r="M530" s="78" t="n"/>
      <c r="N530" s="78" t="n"/>
    </row>
    <row r="531">
      <c r="K531" s="93" t="n"/>
      <c r="L531" s="78" t="n"/>
      <c r="M531" s="78" t="n"/>
      <c r="N531" s="78" t="n"/>
    </row>
    <row r="532">
      <c r="K532" s="93" t="n"/>
      <c r="L532" s="78" t="n"/>
      <c r="M532" s="78" t="n"/>
      <c r="N532" s="78" t="n"/>
    </row>
    <row r="533">
      <c r="K533" s="93" t="n"/>
      <c r="L533" s="78" t="n"/>
      <c r="M533" s="78" t="n"/>
      <c r="N533" s="78" t="n"/>
    </row>
    <row r="534">
      <c r="K534" s="93" t="n"/>
      <c r="L534" s="78" t="n"/>
      <c r="M534" s="78" t="n"/>
      <c r="N534" s="78" t="n"/>
    </row>
    <row r="535">
      <c r="K535" s="93" t="n"/>
      <c r="L535" s="78" t="n"/>
      <c r="M535" s="78" t="n"/>
      <c r="N535" s="78" t="n"/>
    </row>
    <row r="536">
      <c r="K536" s="93" t="n"/>
      <c r="L536" s="78" t="n"/>
      <c r="M536" s="78" t="n"/>
      <c r="N536" s="78" t="n"/>
    </row>
    <row r="537">
      <c r="K537" s="93" t="n"/>
      <c r="L537" s="78" t="n"/>
      <c r="M537" s="78" t="n"/>
      <c r="N537" s="78" t="n"/>
    </row>
    <row r="538">
      <c r="K538" s="93" t="n"/>
      <c r="L538" s="78" t="n"/>
      <c r="M538" s="78" t="n"/>
      <c r="N538" s="78" t="n"/>
    </row>
    <row r="539">
      <c r="K539" s="93" t="n"/>
      <c r="L539" s="78" t="n"/>
      <c r="M539" s="78" t="n"/>
      <c r="N539" s="78" t="n"/>
    </row>
    <row r="540">
      <c r="K540" s="93" t="n"/>
      <c r="L540" s="78" t="n"/>
      <c r="M540" s="78" t="n"/>
      <c r="N540" s="78" t="n"/>
    </row>
    <row r="541">
      <c r="K541" s="93" t="n"/>
      <c r="L541" s="78" t="n"/>
      <c r="M541" s="78" t="n"/>
      <c r="N541" s="78" t="n"/>
    </row>
    <row r="542">
      <c r="K542" s="93" t="n"/>
      <c r="L542" s="78" t="n"/>
      <c r="M542" s="78" t="n"/>
      <c r="N542" s="78" t="n"/>
    </row>
    <row r="543">
      <c r="K543" s="93" t="n"/>
      <c r="L543" s="78" t="n"/>
      <c r="M543" s="78" t="n"/>
      <c r="N543" s="78" t="n"/>
    </row>
    <row r="544">
      <c r="K544" s="93" t="n"/>
      <c r="L544" s="78" t="n"/>
      <c r="M544" s="78" t="n"/>
      <c r="N544" s="78" t="n"/>
    </row>
    <row r="545">
      <c r="K545" s="93" t="n"/>
      <c r="L545" s="78" t="n"/>
      <c r="M545" s="78" t="n"/>
      <c r="N545" s="78" t="n"/>
    </row>
    <row r="546">
      <c r="K546" s="93" t="n"/>
      <c r="L546" s="78" t="n"/>
      <c r="M546" s="78" t="n"/>
      <c r="N546" s="78" t="n"/>
    </row>
    <row r="547">
      <c r="K547" s="93" t="n"/>
      <c r="L547" s="78" t="n"/>
      <c r="M547" s="78" t="n"/>
      <c r="N547" s="78" t="n"/>
    </row>
    <row r="548">
      <c r="K548" s="93" t="n"/>
      <c r="L548" s="78" t="n"/>
      <c r="M548" s="78" t="n"/>
      <c r="N548" s="78" t="n"/>
    </row>
    <row r="549">
      <c r="K549" s="93" t="n"/>
      <c r="L549" s="78" t="n"/>
      <c r="M549" s="78" t="n"/>
      <c r="N549" s="78" t="n"/>
    </row>
    <row r="550">
      <c r="K550" s="93" t="n"/>
      <c r="L550" s="78" t="n"/>
      <c r="M550" s="78" t="n"/>
      <c r="N550" s="78" t="n"/>
    </row>
    <row r="551">
      <c r="K551" s="93" t="n"/>
      <c r="L551" s="78" t="n"/>
      <c r="M551" s="78" t="n"/>
      <c r="N551" s="78" t="n"/>
    </row>
    <row r="552">
      <c r="K552" s="93" t="n"/>
      <c r="L552" s="78" t="n"/>
      <c r="M552" s="78" t="n"/>
      <c r="N552" s="78" t="n"/>
    </row>
    <row r="553">
      <c r="K553" s="93" t="n"/>
      <c r="L553" s="78" t="n"/>
      <c r="M553" s="78" t="n"/>
      <c r="N553" s="78" t="n"/>
    </row>
    <row r="554">
      <c r="K554" s="93" t="n"/>
      <c r="L554" s="78" t="n"/>
      <c r="M554" s="78" t="n"/>
      <c r="N554" s="78" t="n"/>
    </row>
    <row r="555">
      <c r="K555" s="93" t="n"/>
      <c r="L555" s="78" t="n"/>
      <c r="M555" s="78" t="n"/>
      <c r="N555" s="78" t="n"/>
    </row>
    <row r="556">
      <c r="K556" s="93" t="n"/>
      <c r="L556" s="78" t="n"/>
      <c r="M556" s="78" t="n"/>
      <c r="N556" s="78" t="n"/>
    </row>
    <row r="557">
      <c r="K557" s="93" t="n"/>
      <c r="L557" s="78" t="n"/>
      <c r="M557" s="78" t="n"/>
      <c r="N557" s="78" t="n"/>
    </row>
    <row r="558">
      <c r="K558" s="93" t="n"/>
      <c r="L558" s="78" t="n"/>
      <c r="M558" s="78" t="n"/>
      <c r="N558" s="78" t="n"/>
    </row>
    <row r="559">
      <c r="K559" s="93" t="n"/>
      <c r="L559" s="78" t="n"/>
      <c r="M559" s="78" t="n"/>
      <c r="N559" s="78" t="n"/>
    </row>
    <row r="560">
      <c r="K560" s="93" t="n"/>
      <c r="L560" s="78" t="n"/>
      <c r="M560" s="78" t="n"/>
      <c r="N560" s="78" t="n"/>
    </row>
    <row r="561">
      <c r="K561" s="93" t="n"/>
      <c r="L561" s="78" t="n"/>
      <c r="M561" s="78" t="n"/>
      <c r="N561" s="78" t="n"/>
    </row>
    <row r="562">
      <c r="K562" s="93" t="n"/>
      <c r="L562" s="78" t="n"/>
      <c r="M562" s="78" t="n"/>
      <c r="N562" s="78" t="n"/>
    </row>
    <row r="563">
      <c r="K563" s="93" t="n"/>
      <c r="L563" s="78" t="n"/>
      <c r="M563" s="78" t="n"/>
      <c r="N563" s="78" t="n"/>
    </row>
    <row r="564">
      <c r="K564" s="93" t="n"/>
      <c r="L564" s="78" t="n"/>
      <c r="M564" s="78" t="n"/>
      <c r="N564" s="78" t="n"/>
    </row>
    <row r="565">
      <c r="K565" s="93" t="n"/>
      <c r="L565" s="78" t="n"/>
      <c r="M565" s="78" t="n"/>
      <c r="N565" s="78" t="n"/>
    </row>
    <row r="566">
      <c r="K566" s="93" t="n"/>
      <c r="L566" s="78" t="n"/>
      <c r="M566" s="78" t="n"/>
      <c r="N566" s="78" t="n"/>
    </row>
    <row r="567">
      <c r="K567" s="93" t="n"/>
      <c r="L567" s="78" t="n"/>
      <c r="M567" s="78" t="n"/>
      <c r="N567" s="78" t="n"/>
    </row>
    <row r="568">
      <c r="K568" s="93" t="n"/>
      <c r="L568" s="78" t="n"/>
      <c r="M568" s="78" t="n"/>
      <c r="N568" s="78" t="n"/>
    </row>
    <row r="569">
      <c r="K569" s="93" t="n"/>
      <c r="L569" s="78" t="n"/>
      <c r="M569" s="78" t="n"/>
      <c r="N569" s="78" t="n"/>
    </row>
    <row r="570">
      <c r="K570" s="93" t="n"/>
      <c r="L570" s="78" t="n"/>
      <c r="M570" s="78" t="n"/>
      <c r="N570" s="78" t="n"/>
    </row>
    <row r="571">
      <c r="K571" s="93" t="n"/>
      <c r="L571" s="78" t="n"/>
      <c r="M571" s="78" t="n"/>
      <c r="N571" s="78" t="n"/>
    </row>
    <row r="572">
      <c r="K572" s="93" t="n"/>
      <c r="L572" s="78" t="n"/>
      <c r="M572" s="78" t="n"/>
      <c r="N572" s="78" t="n"/>
    </row>
    <row r="573">
      <c r="K573" s="93" t="n"/>
      <c r="L573" s="78" t="n"/>
      <c r="M573" s="78" t="n"/>
      <c r="N573" s="78" t="n"/>
    </row>
    <row r="574">
      <c r="K574" s="93" t="n"/>
      <c r="L574" s="78" t="n"/>
      <c r="M574" s="78" t="n"/>
      <c r="N574" s="78" t="n"/>
    </row>
    <row r="575">
      <c r="K575" s="93" t="n"/>
      <c r="L575" s="78" t="n"/>
      <c r="M575" s="78" t="n"/>
      <c r="N575" s="78" t="n"/>
    </row>
    <row r="576">
      <c r="K576" s="93" t="n"/>
      <c r="L576" s="78" t="n"/>
      <c r="M576" s="78" t="n"/>
      <c r="N576" s="78" t="n"/>
    </row>
    <row r="577">
      <c r="K577" s="93" t="n"/>
      <c r="L577" s="78" t="n"/>
      <c r="M577" s="78" t="n"/>
      <c r="N577" s="78" t="n"/>
    </row>
    <row r="578">
      <c r="K578" s="93" t="n"/>
      <c r="L578" s="78" t="n"/>
      <c r="M578" s="78" t="n"/>
      <c r="N578" s="78" t="n"/>
    </row>
    <row r="579">
      <c r="K579" s="93" t="n"/>
      <c r="L579" s="78" t="n"/>
      <c r="M579" s="78" t="n"/>
      <c r="N579" s="78" t="n"/>
    </row>
    <row r="580">
      <c r="K580" s="93" t="n"/>
      <c r="L580" s="78" t="n"/>
      <c r="M580" s="78" t="n"/>
      <c r="N580" s="78" t="n"/>
    </row>
    <row r="581">
      <c r="K581" s="93" t="n"/>
      <c r="L581" s="78" t="n"/>
      <c r="M581" s="78" t="n"/>
      <c r="N581" s="78" t="n"/>
    </row>
    <row r="582">
      <c r="K582" s="93" t="n"/>
      <c r="L582" s="78" t="n"/>
      <c r="M582" s="78" t="n"/>
      <c r="N582" s="78" t="n"/>
    </row>
    <row r="583">
      <c r="K583" s="93" t="n"/>
      <c r="L583" s="78" t="n"/>
      <c r="M583" s="78" t="n"/>
      <c r="N583" s="78" t="n"/>
    </row>
    <row r="584">
      <c r="K584" s="93" t="n"/>
      <c r="L584" s="78" t="n"/>
      <c r="M584" s="78" t="n"/>
      <c r="N584" s="78" t="n"/>
    </row>
    <row r="585">
      <c r="K585" s="93" t="n"/>
      <c r="L585" s="78" t="n"/>
      <c r="M585" s="78" t="n"/>
      <c r="N585" s="78" t="n"/>
    </row>
    <row r="586">
      <c r="K586" s="93" t="n"/>
      <c r="L586" s="78" t="n"/>
      <c r="M586" s="78" t="n"/>
      <c r="N586" s="78" t="n"/>
    </row>
    <row r="587">
      <c r="K587" s="93" t="n"/>
      <c r="L587" s="78" t="n"/>
      <c r="M587" s="78" t="n"/>
      <c r="N587" s="78" t="n"/>
    </row>
    <row r="588">
      <c r="K588" s="93" t="n"/>
      <c r="L588" s="78" t="n"/>
      <c r="M588" s="78" t="n"/>
      <c r="N588" s="78" t="n"/>
    </row>
    <row r="589">
      <c r="K589" s="93" t="n"/>
      <c r="L589" s="78" t="n"/>
      <c r="M589" s="78" t="n"/>
      <c r="N589" s="78" t="n"/>
    </row>
    <row r="590">
      <c r="K590" s="93" t="n"/>
      <c r="L590" s="78" t="n"/>
      <c r="M590" s="78" t="n"/>
      <c r="N590" s="78" t="n"/>
    </row>
    <row r="591">
      <c r="K591" s="93" t="n"/>
      <c r="L591" s="78" t="n"/>
      <c r="M591" s="78" t="n"/>
      <c r="N591" s="78" t="n"/>
    </row>
    <row r="592">
      <c r="K592" s="93" t="n"/>
      <c r="L592" s="78" t="n"/>
      <c r="M592" s="78" t="n"/>
      <c r="N592" s="78" t="n"/>
    </row>
    <row r="593">
      <c r="K593" s="93" t="n"/>
      <c r="L593" s="78" t="n"/>
      <c r="M593" s="78" t="n"/>
      <c r="N593" s="78" t="n"/>
    </row>
    <row r="594">
      <c r="K594" s="93" t="n"/>
      <c r="L594" s="78" t="n"/>
      <c r="M594" s="78" t="n"/>
      <c r="N594" s="78" t="n"/>
    </row>
    <row r="595">
      <c r="K595" s="93" t="n"/>
      <c r="L595" s="78" t="n"/>
      <c r="M595" s="78" t="n"/>
      <c r="N595" s="78" t="n"/>
    </row>
    <row r="596">
      <c r="K596" s="93" t="n"/>
      <c r="L596" s="78" t="n"/>
      <c r="M596" s="78" t="n"/>
      <c r="N596" s="78" t="n"/>
    </row>
    <row r="597">
      <c r="K597" s="93" t="n"/>
      <c r="L597" s="78" t="n"/>
      <c r="M597" s="78" t="n"/>
      <c r="N597" s="78" t="n"/>
    </row>
    <row r="598">
      <c r="K598" s="93" t="n"/>
      <c r="L598" s="78" t="n"/>
      <c r="M598" s="78" t="n"/>
      <c r="N598" s="78" t="n"/>
    </row>
    <row r="599">
      <c r="K599" s="93" t="n"/>
      <c r="L599" s="78" t="n"/>
      <c r="M599" s="78" t="n"/>
      <c r="N599" s="78" t="n"/>
    </row>
    <row r="600">
      <c r="K600" s="93" t="n"/>
      <c r="L600" s="78" t="n"/>
      <c r="M600" s="78" t="n"/>
      <c r="N600" s="78" t="n"/>
    </row>
    <row r="601">
      <c r="K601" s="93" t="n"/>
      <c r="L601" s="78" t="n"/>
      <c r="M601" s="78" t="n"/>
      <c r="N601" s="78" t="n"/>
    </row>
    <row r="602">
      <c r="K602" s="93" t="n"/>
      <c r="L602" s="78" t="n"/>
      <c r="M602" s="78" t="n"/>
      <c r="N602" s="78" t="n"/>
    </row>
    <row r="603">
      <c r="K603" s="93" t="n"/>
      <c r="L603" s="78" t="n"/>
      <c r="M603" s="78" t="n"/>
      <c r="N603" s="78" t="n"/>
    </row>
    <row r="604">
      <c r="K604" s="93" t="n"/>
      <c r="L604" s="78" t="n"/>
      <c r="M604" s="78" t="n"/>
      <c r="N604" s="78" t="n"/>
    </row>
    <row r="605">
      <c r="K605" s="93" t="n"/>
      <c r="L605" s="78" t="n"/>
      <c r="M605" s="78" t="n"/>
      <c r="N605" s="78" t="n"/>
    </row>
    <row r="606">
      <c r="K606" s="93" t="n"/>
      <c r="L606" s="78" t="n"/>
      <c r="M606" s="78" t="n"/>
      <c r="N606" s="78" t="n"/>
    </row>
    <row r="607">
      <c r="K607" s="93" t="n"/>
      <c r="L607" s="78" t="n"/>
      <c r="M607" s="78" t="n"/>
      <c r="N607" s="78" t="n"/>
    </row>
    <row r="608">
      <c r="K608" s="93" t="n"/>
      <c r="L608" s="78" t="n"/>
      <c r="M608" s="78" t="n"/>
      <c r="N608" s="78" t="n"/>
    </row>
    <row r="609">
      <c r="K609" s="93" t="n"/>
      <c r="L609" s="78" t="n"/>
      <c r="M609" s="78" t="n"/>
      <c r="N609" s="78" t="n"/>
    </row>
    <row r="610">
      <c r="K610" s="93" t="n"/>
      <c r="L610" s="78" t="n"/>
      <c r="M610" s="78" t="n"/>
      <c r="N610" s="78" t="n"/>
    </row>
    <row r="611">
      <c r="K611" s="93" t="n"/>
      <c r="L611" s="78" t="n"/>
      <c r="M611" s="78" t="n"/>
      <c r="N611" s="78" t="n"/>
    </row>
    <row r="612">
      <c r="K612" s="93" t="n"/>
      <c r="L612" s="78" t="n"/>
      <c r="M612" s="78" t="n"/>
      <c r="N612" s="78" t="n"/>
    </row>
    <row r="613">
      <c r="K613" s="93" t="n"/>
      <c r="L613" s="78" t="n"/>
      <c r="M613" s="78" t="n"/>
      <c r="N613" s="78" t="n"/>
    </row>
    <row r="614">
      <c r="K614" s="93" t="n"/>
      <c r="L614" s="78" t="n"/>
      <c r="M614" s="78" t="n"/>
      <c r="N614" s="78" t="n"/>
    </row>
    <row r="615">
      <c r="K615" s="93" t="n"/>
      <c r="L615" s="78" t="n"/>
      <c r="M615" s="78" t="n"/>
      <c r="N615" s="78" t="n"/>
    </row>
    <row r="616">
      <c r="K616" s="93" t="n"/>
      <c r="L616" s="78" t="n"/>
      <c r="M616" s="78" t="n"/>
      <c r="N616" s="78" t="n"/>
    </row>
    <row r="617">
      <c r="K617" s="93" t="n"/>
      <c r="L617" s="78" t="n"/>
      <c r="M617" s="78" t="n"/>
      <c r="N617" s="78" t="n"/>
    </row>
    <row r="618">
      <c r="K618" s="93" t="n"/>
      <c r="L618" s="78" t="n"/>
      <c r="M618" s="78" t="n"/>
      <c r="N618" s="78" t="n"/>
    </row>
    <row r="619">
      <c r="K619" s="93" t="n"/>
      <c r="L619" s="78" t="n"/>
      <c r="M619" s="78" t="n"/>
      <c r="N619" s="78" t="n"/>
    </row>
    <row r="620">
      <c r="K620" s="93" t="n"/>
      <c r="L620" s="78" t="n"/>
      <c r="M620" s="78" t="n"/>
      <c r="N620" s="78" t="n"/>
    </row>
    <row r="621">
      <c r="K621" s="93" t="n"/>
      <c r="L621" s="78" t="n"/>
      <c r="M621" s="78" t="n"/>
      <c r="N621" s="78" t="n"/>
    </row>
    <row r="622">
      <c r="K622" s="93" t="n"/>
      <c r="L622" s="78" t="n"/>
      <c r="M622" s="78" t="n"/>
      <c r="N622" s="78" t="n"/>
    </row>
    <row r="623">
      <c r="K623" s="93" t="n"/>
      <c r="L623" s="78" t="n"/>
      <c r="M623" s="78" t="n"/>
      <c r="N623" s="78" t="n"/>
    </row>
    <row r="624">
      <c r="K624" s="93" t="n"/>
      <c r="L624" s="78" t="n"/>
      <c r="M624" s="78" t="n"/>
      <c r="N624" s="78" t="n"/>
    </row>
    <row r="625">
      <c r="K625" s="93" t="n"/>
      <c r="L625" s="78" t="n"/>
      <c r="M625" s="78" t="n"/>
      <c r="N625" s="78" t="n"/>
    </row>
    <row r="626">
      <c r="K626" s="93" t="n"/>
      <c r="L626" s="78" t="n"/>
      <c r="M626" s="78" t="n"/>
      <c r="N626" s="78" t="n"/>
    </row>
    <row r="627">
      <c r="K627" s="93" t="n"/>
      <c r="L627" s="78" t="n"/>
      <c r="M627" s="78" t="n"/>
      <c r="N627" s="78" t="n"/>
    </row>
    <row r="628">
      <c r="K628" s="93" t="n"/>
      <c r="L628" s="78" t="n"/>
      <c r="M628" s="78" t="n"/>
      <c r="N628" s="78" t="n"/>
    </row>
    <row r="629">
      <c r="K629" s="93" t="n"/>
      <c r="L629" s="78" t="n"/>
      <c r="M629" s="78" t="n"/>
      <c r="N629" s="78" t="n"/>
    </row>
    <row r="630">
      <c r="K630" s="93" t="n"/>
      <c r="L630" s="78" t="n"/>
      <c r="M630" s="78" t="n"/>
      <c r="N630" s="78" t="n"/>
    </row>
    <row r="631">
      <c r="K631" s="93" t="n"/>
      <c r="L631" s="78" t="n"/>
      <c r="M631" s="78" t="n"/>
      <c r="N631" s="78" t="n"/>
    </row>
    <row r="632">
      <c r="K632" s="93" t="n"/>
      <c r="L632" s="78" t="n"/>
      <c r="M632" s="78" t="n"/>
      <c r="N632" s="78" t="n"/>
    </row>
    <row r="633">
      <c r="K633" s="93" t="n"/>
      <c r="L633" s="78" t="n"/>
      <c r="M633" s="78" t="n"/>
      <c r="N633" s="78" t="n"/>
    </row>
    <row r="634">
      <c r="K634" s="93" t="n"/>
      <c r="L634" s="78" t="n"/>
      <c r="M634" s="78" t="n"/>
      <c r="N634" s="78" t="n"/>
    </row>
    <row r="635">
      <c r="K635" s="93" t="n"/>
      <c r="L635" s="78" t="n"/>
      <c r="M635" s="78" t="n"/>
      <c r="N635" s="78" t="n"/>
    </row>
    <row r="636">
      <c r="K636" s="93" t="n"/>
      <c r="L636" s="78" t="n"/>
      <c r="M636" s="78" t="n"/>
      <c r="N636" s="78" t="n"/>
    </row>
    <row r="637">
      <c r="K637" s="93" t="n"/>
      <c r="L637" s="78" t="n"/>
      <c r="M637" s="78" t="n"/>
      <c r="N637" s="78" t="n"/>
    </row>
    <row r="638">
      <c r="K638" s="93" t="n"/>
      <c r="L638" s="78" t="n"/>
      <c r="M638" s="78" t="n"/>
      <c r="N638" s="78" t="n"/>
    </row>
    <row r="639">
      <c r="K639" s="93" t="n"/>
      <c r="L639" s="78" t="n"/>
      <c r="M639" s="78" t="n"/>
      <c r="N639" s="78" t="n"/>
    </row>
    <row r="640">
      <c r="K640" s="93" t="n"/>
      <c r="L640" s="78" t="n"/>
      <c r="M640" s="78" t="n"/>
      <c r="N640" s="78" t="n"/>
    </row>
    <row r="641">
      <c r="K641" s="93" t="n"/>
      <c r="L641" s="78" t="n"/>
      <c r="M641" s="78" t="n"/>
      <c r="N641" s="78" t="n"/>
    </row>
    <row r="642">
      <c r="K642" s="93" t="n"/>
      <c r="L642" s="78" t="n"/>
      <c r="M642" s="78" t="n"/>
      <c r="N642" s="78" t="n"/>
    </row>
    <row r="643">
      <c r="K643" s="93" t="n"/>
      <c r="L643" s="78" t="n"/>
      <c r="M643" s="78" t="n"/>
      <c r="N643" s="78" t="n"/>
    </row>
    <row r="644">
      <c r="K644" s="93" t="n"/>
      <c r="L644" s="78" t="n"/>
      <c r="M644" s="78" t="n"/>
      <c r="N644" s="78" t="n"/>
    </row>
    <row r="645">
      <c r="K645" s="93" t="n"/>
      <c r="L645" s="78" t="n"/>
      <c r="M645" s="78" t="n"/>
      <c r="N645" s="78" t="n"/>
    </row>
    <row r="646">
      <c r="K646" s="93" t="n"/>
      <c r="L646" s="78" t="n"/>
      <c r="M646" s="78" t="n"/>
      <c r="N646" s="78" t="n"/>
    </row>
    <row r="647">
      <c r="K647" s="93" t="n"/>
      <c r="L647" s="78" t="n"/>
      <c r="M647" s="78" t="n"/>
      <c r="N647" s="78" t="n"/>
    </row>
    <row r="648">
      <c r="K648" s="93" t="n"/>
      <c r="L648" s="78" t="n"/>
      <c r="M648" s="78" t="n"/>
      <c r="N648" s="78" t="n"/>
    </row>
    <row r="649">
      <c r="K649" s="93" t="n"/>
      <c r="L649" s="78" t="n"/>
      <c r="M649" s="78" t="n"/>
      <c r="N649" s="78" t="n"/>
    </row>
    <row r="650">
      <c r="K650" s="93" t="n"/>
      <c r="L650" s="78" t="n"/>
      <c r="M650" s="78" t="n"/>
      <c r="N650" s="78" t="n"/>
    </row>
    <row r="651">
      <c r="K651" s="93" t="n"/>
      <c r="L651" s="78" t="n"/>
      <c r="M651" s="78" t="n"/>
      <c r="N651" s="78" t="n"/>
    </row>
    <row r="652">
      <c r="K652" s="93" t="n"/>
      <c r="L652" s="78" t="n"/>
      <c r="M652" s="78" t="n"/>
      <c r="N652" s="78" t="n"/>
    </row>
    <row r="653">
      <c r="K653" s="93" t="n"/>
      <c r="L653" s="78" t="n"/>
      <c r="M653" s="78" t="n"/>
      <c r="N653" s="78" t="n"/>
    </row>
    <row r="654">
      <c r="K654" s="93" t="n"/>
      <c r="L654" s="78" t="n"/>
      <c r="M654" s="78" t="n"/>
      <c r="N654" s="78" t="n"/>
    </row>
    <row r="655">
      <c r="K655" s="93" t="n"/>
      <c r="L655" s="78" t="n"/>
      <c r="M655" s="78" t="n"/>
      <c r="N655" s="78" t="n"/>
    </row>
    <row r="656">
      <c r="K656" s="93" t="n"/>
      <c r="L656" s="78" t="n"/>
      <c r="M656" s="78" t="n"/>
      <c r="N656" s="78" t="n"/>
    </row>
    <row r="657">
      <c r="K657" s="93" t="n"/>
      <c r="L657" s="78" t="n"/>
      <c r="M657" s="78" t="n"/>
      <c r="N657" s="78" t="n"/>
    </row>
    <row r="658">
      <c r="K658" s="93" t="n"/>
      <c r="L658" s="78" t="n"/>
      <c r="M658" s="78" t="n"/>
      <c r="N658" s="78" t="n"/>
    </row>
    <row r="659">
      <c r="K659" s="93" t="n"/>
      <c r="L659" s="78" t="n"/>
      <c r="M659" s="78" t="n"/>
      <c r="N659" s="78" t="n"/>
    </row>
    <row r="660">
      <c r="K660" s="93" t="n"/>
      <c r="L660" s="78" t="n"/>
      <c r="M660" s="78" t="n"/>
      <c r="N660" s="78" t="n"/>
    </row>
    <row r="661">
      <c r="K661" s="93" t="n"/>
      <c r="L661" s="78" t="n"/>
      <c r="M661" s="78" t="n"/>
      <c r="N661" s="78" t="n"/>
    </row>
    <row r="662">
      <c r="K662" s="93" t="n"/>
      <c r="L662" s="78" t="n"/>
      <c r="M662" s="78" t="n"/>
      <c r="N662" s="78" t="n"/>
    </row>
    <row r="663">
      <c r="K663" s="93" t="n"/>
      <c r="L663" s="78" t="n"/>
      <c r="M663" s="78" t="n"/>
      <c r="N663" s="78" t="n"/>
    </row>
    <row r="664">
      <c r="K664" s="93" t="n"/>
      <c r="L664" s="78" t="n"/>
      <c r="M664" s="78" t="n"/>
      <c r="N664" s="78" t="n"/>
    </row>
    <row r="665">
      <c r="K665" s="93" t="n"/>
      <c r="L665" s="78" t="n"/>
      <c r="M665" s="78" t="n"/>
      <c r="N665" s="78" t="n"/>
    </row>
    <row r="666">
      <c r="K666" s="93" t="n"/>
      <c r="L666" s="78" t="n"/>
      <c r="M666" s="78" t="n"/>
      <c r="N666" s="78" t="n"/>
    </row>
    <row r="667">
      <c r="K667" s="93" t="n"/>
      <c r="L667" s="78" t="n"/>
      <c r="M667" s="78" t="n"/>
      <c r="N667" s="78" t="n"/>
    </row>
    <row r="668">
      <c r="K668" s="93" t="n"/>
      <c r="L668" s="78" t="n"/>
      <c r="M668" s="78" t="n"/>
      <c r="N668" s="78" t="n"/>
    </row>
    <row r="669">
      <c r="K669" s="93" t="n"/>
      <c r="L669" s="78" t="n"/>
      <c r="M669" s="78" t="n"/>
      <c r="N669" s="78" t="n"/>
    </row>
    <row r="670">
      <c r="K670" s="93" t="n"/>
      <c r="L670" s="78" t="n"/>
      <c r="M670" s="78" t="n"/>
      <c r="N670" s="78" t="n"/>
    </row>
    <row r="671">
      <c r="K671" s="93" t="n"/>
      <c r="L671" s="78" t="n"/>
      <c r="M671" s="78" t="n"/>
      <c r="N671" s="78" t="n"/>
    </row>
    <row r="672">
      <c r="K672" s="93" t="n"/>
      <c r="L672" s="78" t="n"/>
      <c r="M672" s="78" t="n"/>
      <c r="N672" s="78" t="n"/>
    </row>
    <row r="673">
      <c r="K673" s="93" t="n"/>
      <c r="L673" s="78" t="n"/>
      <c r="M673" s="78" t="n"/>
      <c r="N673" s="78" t="n"/>
    </row>
    <row r="674">
      <c r="K674" s="93" t="n"/>
      <c r="L674" s="78" t="n"/>
      <c r="M674" s="78" t="n"/>
      <c r="N674" s="78" t="n"/>
    </row>
    <row r="675">
      <c r="K675" s="93" t="n"/>
      <c r="L675" s="78" t="n"/>
      <c r="M675" s="78" t="n"/>
      <c r="N675" s="78" t="n"/>
    </row>
    <row r="676">
      <c r="K676" s="93" t="n"/>
      <c r="L676" s="78" t="n"/>
      <c r="M676" s="78" t="n"/>
      <c r="N676" s="78" t="n"/>
    </row>
    <row r="677">
      <c r="K677" s="93" t="n"/>
      <c r="L677" s="78" t="n"/>
      <c r="M677" s="78" t="n"/>
      <c r="N677" s="78" t="n"/>
    </row>
    <row r="678">
      <c r="K678" s="93" t="n"/>
      <c r="L678" s="78" t="n"/>
      <c r="M678" s="78" t="n"/>
      <c r="N678" s="78" t="n"/>
    </row>
    <row r="679">
      <c r="K679" s="93" t="n"/>
      <c r="L679" s="78" t="n"/>
      <c r="M679" s="78" t="n"/>
      <c r="N679" s="78" t="n"/>
    </row>
    <row r="680">
      <c r="K680" s="93" t="n"/>
      <c r="L680" s="78" t="n"/>
      <c r="M680" s="78" t="n"/>
      <c r="N680" s="78" t="n"/>
    </row>
    <row r="681">
      <c r="K681" s="93" t="n"/>
      <c r="L681" s="78" t="n"/>
      <c r="M681" s="78" t="n"/>
      <c r="N681" s="78" t="n"/>
    </row>
    <row r="682">
      <c r="K682" s="93" t="n"/>
      <c r="L682" s="78" t="n"/>
      <c r="M682" s="78" t="n"/>
      <c r="N682" s="78" t="n"/>
    </row>
    <row r="683">
      <c r="K683" s="93" t="n"/>
      <c r="L683" s="78" t="n"/>
      <c r="M683" s="78" t="n"/>
      <c r="N683" s="78" t="n"/>
    </row>
    <row r="684">
      <c r="K684" s="93" t="n"/>
      <c r="L684" s="78" t="n"/>
      <c r="M684" s="78" t="n"/>
      <c r="N684" s="78" t="n"/>
    </row>
    <row r="685">
      <c r="K685" s="93" t="n"/>
      <c r="L685" s="78" t="n"/>
      <c r="M685" s="78" t="n"/>
      <c r="N685" s="78" t="n"/>
    </row>
    <row r="686">
      <c r="K686" s="93" t="n"/>
      <c r="L686" s="78" t="n"/>
      <c r="M686" s="78" t="n"/>
      <c r="N686" s="78" t="n"/>
    </row>
    <row r="687">
      <c r="K687" s="93" t="n"/>
      <c r="L687" s="78" t="n"/>
      <c r="M687" s="78" t="n"/>
      <c r="N687" s="78" t="n"/>
    </row>
    <row r="688">
      <c r="K688" s="93" t="n"/>
      <c r="L688" s="78" t="n"/>
      <c r="M688" s="78" t="n"/>
      <c r="N688" s="78" t="n"/>
    </row>
    <row r="689">
      <c r="K689" s="93" t="n"/>
      <c r="L689" s="78" t="n"/>
      <c r="M689" s="78" t="n"/>
      <c r="N689" s="78" t="n"/>
    </row>
    <row r="690">
      <c r="K690" s="93" t="n"/>
      <c r="L690" s="78" t="n"/>
      <c r="M690" s="78" t="n"/>
      <c r="N690" s="78" t="n"/>
    </row>
    <row r="691">
      <c r="K691" s="93" t="n"/>
      <c r="L691" s="78" t="n"/>
      <c r="M691" s="78" t="n"/>
      <c r="N691" s="78" t="n"/>
    </row>
    <row r="692">
      <c r="K692" s="93" t="n"/>
      <c r="L692" s="78" t="n"/>
      <c r="M692" s="78" t="n"/>
      <c r="N692" s="78" t="n"/>
    </row>
    <row r="693">
      <c r="K693" s="93" t="n"/>
      <c r="L693" s="78" t="n"/>
      <c r="M693" s="78" t="n"/>
      <c r="N693" s="78" t="n"/>
    </row>
    <row r="694">
      <c r="K694" s="93" t="n"/>
      <c r="L694" s="78" t="n"/>
      <c r="M694" s="78" t="n"/>
      <c r="N694" s="78" t="n"/>
    </row>
    <row r="695">
      <c r="K695" s="93" t="n"/>
      <c r="L695" s="78" t="n"/>
      <c r="M695" s="78" t="n"/>
      <c r="N695" s="78" t="n"/>
    </row>
    <row r="696">
      <c r="K696" s="93" t="n"/>
      <c r="L696" s="78" t="n"/>
      <c r="M696" s="78" t="n"/>
      <c r="N696" s="78" t="n"/>
    </row>
    <row r="697">
      <c r="K697" s="93" t="n"/>
      <c r="L697" s="78" t="n"/>
      <c r="M697" s="78" t="n"/>
      <c r="N697" s="78" t="n"/>
    </row>
    <row r="698">
      <c r="K698" s="93" t="n"/>
      <c r="L698" s="78" t="n"/>
      <c r="M698" s="78" t="n"/>
      <c r="N698" s="78" t="n"/>
    </row>
    <row r="699">
      <c r="K699" s="93" t="n"/>
      <c r="L699" s="78" t="n"/>
      <c r="M699" s="78" t="n"/>
      <c r="N699" s="78" t="n"/>
    </row>
    <row r="700">
      <c r="K700" s="93" t="n"/>
      <c r="L700" s="78" t="n"/>
      <c r="M700" s="78" t="n"/>
      <c r="N700" s="78" t="n"/>
    </row>
    <row r="701">
      <c r="K701" s="93" t="n"/>
      <c r="L701" s="78" t="n"/>
      <c r="M701" s="78" t="n"/>
      <c r="N701" s="78" t="n"/>
    </row>
    <row r="702">
      <c r="K702" s="93" t="n"/>
      <c r="L702" s="78" t="n"/>
      <c r="M702" s="78" t="n"/>
      <c r="N702" s="78" t="n"/>
    </row>
    <row r="703">
      <c r="K703" s="93" t="n"/>
      <c r="L703" s="78" t="n"/>
      <c r="M703" s="78" t="n"/>
      <c r="N703" s="78" t="n"/>
    </row>
    <row r="704">
      <c r="K704" s="93" t="n"/>
      <c r="L704" s="78" t="n"/>
      <c r="M704" s="78" t="n"/>
      <c r="N704" s="78" t="n"/>
    </row>
    <row r="705">
      <c r="K705" s="93" t="n"/>
      <c r="L705" s="78" t="n"/>
      <c r="M705" s="78" t="n"/>
      <c r="N705" s="78" t="n"/>
    </row>
    <row r="706">
      <c r="K706" s="93" t="n"/>
      <c r="L706" s="78" t="n"/>
      <c r="M706" s="78" t="n"/>
      <c r="N706" s="78" t="n"/>
    </row>
    <row r="707">
      <c r="K707" s="93" t="n"/>
      <c r="L707" s="78" t="n"/>
      <c r="M707" s="78" t="n"/>
      <c r="N707" s="78" t="n"/>
    </row>
    <row r="708">
      <c r="K708" s="93" t="n"/>
      <c r="L708" s="78" t="n"/>
      <c r="M708" s="78" t="n"/>
      <c r="N708" s="78" t="n"/>
    </row>
    <row r="709">
      <c r="K709" s="93" t="n"/>
      <c r="L709" s="78" t="n"/>
      <c r="M709" s="78" t="n"/>
      <c r="N709" s="78" t="n"/>
    </row>
    <row r="710">
      <c r="K710" s="93" t="n"/>
      <c r="L710" s="78" t="n"/>
      <c r="M710" s="78" t="n"/>
      <c r="N710" s="78" t="n"/>
    </row>
    <row r="711">
      <c r="K711" s="93" t="n"/>
      <c r="L711" s="78" t="n"/>
      <c r="M711" s="78" t="n"/>
      <c r="N711" s="78" t="n"/>
    </row>
    <row r="712">
      <c r="K712" s="93" t="n"/>
      <c r="L712" s="78" t="n"/>
      <c r="M712" s="78" t="n"/>
      <c r="N712" s="78" t="n"/>
    </row>
    <row r="713">
      <c r="K713" s="93" t="n"/>
      <c r="L713" s="78" t="n"/>
      <c r="M713" s="78" t="n"/>
      <c r="N713" s="78" t="n"/>
    </row>
    <row r="714">
      <c r="K714" s="93" t="n"/>
      <c r="L714" s="78" t="n"/>
      <c r="M714" s="78" t="n"/>
      <c r="N714" s="78" t="n"/>
    </row>
    <row r="715">
      <c r="K715" s="93" t="n"/>
      <c r="L715" s="78" t="n"/>
      <c r="M715" s="78" t="n"/>
      <c r="N715" s="78" t="n"/>
    </row>
    <row r="716">
      <c r="K716" s="93" t="n"/>
      <c r="L716" s="78" t="n"/>
      <c r="M716" s="78" t="n"/>
      <c r="N716" s="78" t="n"/>
    </row>
    <row r="717">
      <c r="K717" s="93" t="n"/>
      <c r="L717" s="78" t="n"/>
      <c r="M717" s="78" t="n"/>
      <c r="N717" s="78" t="n"/>
    </row>
    <row r="718">
      <c r="K718" s="93" t="n"/>
      <c r="L718" s="78" t="n"/>
      <c r="M718" s="78" t="n"/>
      <c r="N718" s="78" t="n"/>
    </row>
    <row r="719">
      <c r="K719" s="93" t="n"/>
      <c r="L719" s="78" t="n"/>
      <c r="M719" s="78" t="n"/>
      <c r="N719" s="78" t="n"/>
    </row>
    <row r="720">
      <c r="K720" s="93" t="n"/>
      <c r="L720" s="78" t="n"/>
      <c r="M720" s="78" t="n"/>
      <c r="N720" s="78" t="n"/>
    </row>
    <row r="721">
      <c r="K721" s="93" t="n"/>
      <c r="L721" s="78" t="n"/>
      <c r="M721" s="78" t="n"/>
      <c r="N721" s="78" t="n"/>
    </row>
    <row r="722">
      <c r="K722" s="93" t="n"/>
      <c r="L722" s="78" t="n"/>
      <c r="M722" s="78" t="n"/>
      <c r="N722" s="78" t="n"/>
    </row>
    <row r="723">
      <c r="K723" s="93" t="n"/>
      <c r="L723" s="78" t="n"/>
      <c r="M723" s="78" t="n"/>
      <c r="N723" s="78" t="n"/>
    </row>
    <row r="724">
      <c r="K724" s="93" t="n"/>
      <c r="L724" s="78" t="n"/>
      <c r="M724" s="78" t="n"/>
      <c r="N724" s="78" t="n"/>
    </row>
    <row r="725">
      <c r="K725" s="93" t="n"/>
      <c r="L725" s="78" t="n"/>
      <c r="M725" s="78" t="n"/>
      <c r="N725" s="78" t="n"/>
    </row>
    <row r="726">
      <c r="K726" s="93" t="n"/>
      <c r="L726" s="78" t="n"/>
      <c r="M726" s="78" t="n"/>
      <c r="N726" s="78" t="n"/>
    </row>
    <row r="727">
      <c r="K727" s="93" t="n"/>
      <c r="L727" s="78" t="n"/>
      <c r="M727" s="78" t="n"/>
      <c r="N727" s="78" t="n"/>
    </row>
    <row r="728">
      <c r="K728" s="93" t="n"/>
      <c r="L728" s="78" t="n"/>
      <c r="M728" s="78" t="n"/>
      <c r="N728" s="78" t="n"/>
    </row>
    <row r="729">
      <c r="K729" s="93" t="n"/>
      <c r="L729" s="78" t="n"/>
      <c r="M729" s="78" t="n"/>
      <c r="N729" s="78" t="n"/>
    </row>
    <row r="730">
      <c r="K730" s="93" t="n"/>
      <c r="L730" s="78" t="n"/>
      <c r="M730" s="78" t="n"/>
      <c r="N730" s="78" t="n"/>
    </row>
    <row r="731">
      <c r="K731" s="93" t="n"/>
      <c r="L731" s="78" t="n"/>
      <c r="M731" s="78" t="n"/>
      <c r="N731" s="78" t="n"/>
    </row>
    <row r="732">
      <c r="K732" s="93" t="n"/>
      <c r="L732" s="78" t="n"/>
      <c r="M732" s="78" t="n"/>
      <c r="N732" s="78" t="n"/>
    </row>
    <row r="733">
      <c r="K733" s="93" t="n"/>
      <c r="L733" s="78" t="n"/>
      <c r="M733" s="78" t="n"/>
      <c r="N733" s="78" t="n"/>
    </row>
    <row r="734">
      <c r="K734" s="93" t="n"/>
      <c r="L734" s="78" t="n"/>
      <c r="M734" s="78" t="n"/>
      <c r="N734" s="78" t="n"/>
    </row>
    <row r="735">
      <c r="K735" s="93" t="n"/>
      <c r="L735" s="78" t="n"/>
      <c r="M735" s="78" t="n"/>
      <c r="N735" s="78" t="n"/>
    </row>
    <row r="736">
      <c r="K736" s="93" t="n"/>
      <c r="L736" s="78" t="n"/>
      <c r="M736" s="78" t="n"/>
      <c r="N736" s="78" t="n"/>
    </row>
    <row r="737">
      <c r="K737" s="93" t="n"/>
      <c r="L737" s="78" t="n"/>
      <c r="M737" s="78" t="n"/>
      <c r="N737" s="78" t="n"/>
    </row>
    <row r="738">
      <c r="K738" s="93" t="n"/>
      <c r="L738" s="78" t="n"/>
      <c r="M738" s="78" t="n"/>
      <c r="N738" s="78" t="n"/>
    </row>
    <row r="739">
      <c r="K739" s="93" t="n"/>
      <c r="L739" s="78" t="n"/>
      <c r="M739" s="78" t="n"/>
      <c r="N739" s="78" t="n"/>
    </row>
    <row r="740">
      <c r="K740" s="93" t="n"/>
      <c r="L740" s="78" t="n"/>
      <c r="M740" s="78" t="n"/>
      <c r="N740" s="78" t="n"/>
    </row>
    <row r="741">
      <c r="K741" s="93" t="n"/>
      <c r="L741" s="78" t="n"/>
      <c r="M741" s="78" t="n"/>
      <c r="N741" s="78" t="n"/>
    </row>
    <row r="742">
      <c r="K742" s="93" t="n"/>
      <c r="L742" s="78" t="n"/>
      <c r="M742" s="78" t="n"/>
      <c r="N742" s="78" t="n"/>
    </row>
    <row r="743">
      <c r="K743" s="93" t="n"/>
      <c r="L743" s="78" t="n"/>
      <c r="M743" s="78" t="n"/>
      <c r="N743" s="78" t="n"/>
    </row>
    <row r="744">
      <c r="K744" s="93" t="n"/>
      <c r="L744" s="78" t="n"/>
      <c r="M744" s="78" t="n"/>
      <c r="N744" s="78" t="n"/>
    </row>
    <row r="745">
      <c r="K745" s="93" t="n"/>
      <c r="L745" s="78" t="n"/>
      <c r="M745" s="78" t="n"/>
      <c r="N745" s="78" t="n"/>
    </row>
    <row r="746">
      <c r="K746" s="93" t="n"/>
      <c r="L746" s="78" t="n"/>
      <c r="M746" s="78" t="n"/>
      <c r="N746" s="78" t="n"/>
    </row>
    <row r="747">
      <c r="K747" s="93" t="n"/>
      <c r="L747" s="78" t="n"/>
      <c r="M747" s="78" t="n"/>
      <c r="N747" s="78" t="n"/>
    </row>
    <row r="748">
      <c r="K748" s="93" t="n"/>
      <c r="L748" s="78" t="n"/>
      <c r="M748" s="78" t="n"/>
      <c r="N748" s="78" t="n"/>
    </row>
    <row r="749">
      <c r="K749" s="93" t="n"/>
      <c r="L749" s="78" t="n"/>
      <c r="M749" s="78" t="n"/>
      <c r="N749" s="78" t="n"/>
    </row>
    <row r="750">
      <c r="K750" s="93" t="n"/>
      <c r="L750" s="78" t="n"/>
      <c r="M750" s="78" t="n"/>
      <c r="N750" s="78" t="n"/>
    </row>
    <row r="751">
      <c r="K751" s="93" t="n"/>
      <c r="L751" s="78" t="n"/>
      <c r="M751" s="78" t="n"/>
      <c r="N751" s="78" t="n"/>
    </row>
    <row r="752">
      <c r="K752" s="93" t="n"/>
      <c r="L752" s="78" t="n"/>
      <c r="M752" s="78" t="n"/>
      <c r="N752" s="78" t="n"/>
    </row>
    <row r="753">
      <c r="K753" s="93" t="n"/>
      <c r="L753" s="78" t="n"/>
      <c r="M753" s="78" t="n"/>
      <c r="N753" s="78" t="n"/>
    </row>
    <row r="754">
      <c r="K754" s="93" t="n"/>
      <c r="L754" s="78" t="n"/>
      <c r="M754" s="78" t="n"/>
      <c r="N754" s="78" t="n"/>
    </row>
    <row r="755">
      <c r="K755" s="93" t="n"/>
      <c r="L755" s="78" t="n"/>
      <c r="M755" s="78" t="n"/>
      <c r="N755" s="78" t="n"/>
    </row>
    <row r="756">
      <c r="K756" s="93" t="n"/>
      <c r="L756" s="78" t="n"/>
      <c r="M756" s="78" t="n"/>
      <c r="N756" s="78" t="n"/>
    </row>
    <row r="757">
      <c r="K757" s="93" t="n"/>
      <c r="L757" s="78" t="n"/>
      <c r="M757" s="78" t="n"/>
      <c r="N757" s="78" t="n"/>
    </row>
    <row r="758">
      <c r="K758" s="93" t="n"/>
      <c r="L758" s="78" t="n"/>
      <c r="M758" s="78" t="n"/>
      <c r="N758" s="78" t="n"/>
    </row>
    <row r="759">
      <c r="K759" s="93" t="n"/>
      <c r="L759" s="78" t="n"/>
      <c r="M759" s="78" t="n"/>
      <c r="N759" s="78" t="n"/>
    </row>
    <row r="760">
      <c r="K760" s="93" t="n"/>
      <c r="L760" s="78" t="n"/>
      <c r="M760" s="78" t="n"/>
      <c r="N760" s="78" t="n"/>
    </row>
    <row r="761">
      <c r="K761" s="93" t="n"/>
      <c r="L761" s="78" t="n"/>
      <c r="M761" s="78" t="n"/>
      <c r="N761" s="78" t="n"/>
    </row>
    <row r="762">
      <c r="K762" s="93" t="n"/>
      <c r="L762" s="78" t="n"/>
      <c r="M762" s="78" t="n"/>
      <c r="N762" s="78" t="n"/>
    </row>
    <row r="763">
      <c r="K763" s="93" t="n"/>
      <c r="L763" s="78" t="n"/>
      <c r="M763" s="78" t="n"/>
      <c r="N763" s="78" t="n"/>
    </row>
    <row r="764">
      <c r="K764" s="93" t="n"/>
      <c r="L764" s="78" t="n"/>
      <c r="M764" s="78" t="n"/>
      <c r="N764" s="78" t="n"/>
    </row>
    <row r="765">
      <c r="K765" s="93" t="n"/>
      <c r="L765" s="78" t="n"/>
      <c r="M765" s="78" t="n"/>
      <c r="N765" s="78" t="n"/>
    </row>
    <row r="766">
      <c r="K766" s="93" t="n"/>
      <c r="L766" s="78" t="n"/>
      <c r="M766" s="78" t="n"/>
      <c r="N766" s="78" t="n"/>
    </row>
    <row r="767">
      <c r="K767" s="93" t="n"/>
      <c r="L767" s="78" t="n"/>
      <c r="M767" s="78" t="n"/>
      <c r="N767" s="78" t="n"/>
    </row>
    <row r="768">
      <c r="K768" s="93" t="n"/>
      <c r="L768" s="78" t="n"/>
      <c r="M768" s="78" t="n"/>
      <c r="N768" s="78" t="n"/>
    </row>
    <row r="769">
      <c r="K769" s="93" t="n"/>
      <c r="L769" s="78" t="n"/>
      <c r="M769" s="78" t="n"/>
      <c r="N769" s="78" t="n"/>
    </row>
    <row r="770">
      <c r="K770" s="93" t="n"/>
      <c r="L770" s="78" t="n"/>
      <c r="M770" s="78" t="n"/>
      <c r="N770" s="78" t="n"/>
    </row>
    <row r="771">
      <c r="K771" s="93" t="n"/>
      <c r="L771" s="78" t="n"/>
      <c r="M771" s="78" t="n"/>
      <c r="N771" s="78" t="n"/>
    </row>
    <row r="772">
      <c r="K772" s="93" t="n"/>
      <c r="L772" s="78" t="n"/>
      <c r="M772" s="78" t="n"/>
      <c r="N772" s="78" t="n"/>
    </row>
    <row r="773">
      <c r="K773" s="93" t="n"/>
      <c r="L773" s="78" t="n"/>
      <c r="M773" s="78" t="n"/>
      <c r="N773" s="78" t="n"/>
    </row>
    <row r="774">
      <c r="K774" s="93" t="n"/>
      <c r="L774" s="78" t="n"/>
      <c r="M774" s="78" t="n"/>
      <c r="N774" s="78" t="n"/>
    </row>
    <row r="775">
      <c r="K775" s="93" t="n"/>
      <c r="L775" s="78" t="n"/>
      <c r="M775" s="78" t="n"/>
      <c r="N775" s="78" t="n"/>
    </row>
    <row r="776">
      <c r="K776" s="93" t="n"/>
      <c r="L776" s="78" t="n"/>
      <c r="M776" s="78" t="n"/>
      <c r="N776" s="78" t="n"/>
    </row>
    <row r="777">
      <c r="K777" s="93" t="n"/>
      <c r="L777" s="78" t="n"/>
      <c r="M777" s="78" t="n"/>
      <c r="N777" s="78" t="n"/>
    </row>
    <row r="778">
      <c r="K778" s="93" t="n"/>
      <c r="L778" s="78" t="n"/>
      <c r="M778" s="78" t="n"/>
      <c r="N778" s="78" t="n"/>
    </row>
    <row r="779">
      <c r="K779" s="93" t="n"/>
      <c r="L779" s="78" t="n"/>
      <c r="M779" s="78" t="n"/>
      <c r="N779" s="78" t="n"/>
    </row>
    <row r="780">
      <c r="K780" s="93" t="n"/>
      <c r="L780" s="78" t="n"/>
      <c r="M780" s="78" t="n"/>
      <c r="N780" s="78" t="n"/>
    </row>
    <row r="781">
      <c r="K781" s="93" t="n"/>
      <c r="L781" s="78" t="n"/>
      <c r="M781" s="78" t="n"/>
      <c r="N781" s="78" t="n"/>
    </row>
    <row r="782">
      <c r="K782" s="93" t="n"/>
      <c r="L782" s="78" t="n"/>
      <c r="M782" s="78" t="n"/>
      <c r="N782" s="78" t="n"/>
    </row>
    <row r="783">
      <c r="K783" s="93" t="n"/>
      <c r="L783" s="78" t="n"/>
      <c r="M783" s="78" t="n"/>
      <c r="N783" s="78" t="n"/>
    </row>
    <row r="784">
      <c r="K784" s="93" t="n"/>
      <c r="L784" s="78" t="n"/>
      <c r="M784" s="78" t="n"/>
      <c r="N784" s="78" t="n"/>
    </row>
    <row r="785">
      <c r="K785" s="93" t="n"/>
      <c r="L785" s="78" t="n"/>
      <c r="M785" s="78" t="n"/>
      <c r="N785" s="78" t="n"/>
    </row>
    <row r="786">
      <c r="K786" s="93" t="n"/>
      <c r="L786" s="78" t="n"/>
      <c r="M786" s="78" t="n"/>
      <c r="N786" s="78" t="n"/>
    </row>
    <row r="787">
      <c r="K787" s="93" t="n"/>
      <c r="L787" s="78" t="n"/>
      <c r="M787" s="78" t="n"/>
      <c r="N787" s="78" t="n"/>
    </row>
    <row r="788">
      <c r="K788" s="93" t="n"/>
      <c r="L788" s="78" t="n"/>
      <c r="M788" s="78" t="n"/>
      <c r="N788" s="78" t="n"/>
    </row>
    <row r="789">
      <c r="K789" s="93" t="n"/>
      <c r="L789" s="78" t="n"/>
      <c r="M789" s="78" t="n"/>
      <c r="N789" s="78" t="n"/>
    </row>
    <row r="790">
      <c r="K790" s="93" t="n"/>
      <c r="L790" s="78" t="n"/>
      <c r="M790" s="78" t="n"/>
      <c r="N790" s="78" t="n"/>
    </row>
    <row r="791">
      <c r="K791" s="93" t="n"/>
      <c r="L791" s="78" t="n"/>
      <c r="M791" s="78" t="n"/>
      <c r="N791" s="78" t="n"/>
    </row>
    <row r="792">
      <c r="K792" s="93" t="n"/>
      <c r="L792" s="78" t="n"/>
      <c r="M792" s="78" t="n"/>
      <c r="N792" s="78" t="n"/>
    </row>
    <row r="793">
      <c r="K793" s="93" t="n"/>
      <c r="L793" s="78" t="n"/>
      <c r="M793" s="78" t="n"/>
      <c r="N793" s="78" t="n"/>
    </row>
    <row r="794">
      <c r="K794" s="93" t="n"/>
      <c r="L794" s="78" t="n"/>
      <c r="M794" s="78" t="n"/>
      <c r="N794" s="78" t="n"/>
    </row>
    <row r="795">
      <c r="K795" s="93" t="n"/>
      <c r="L795" s="78" t="n"/>
      <c r="M795" s="78" t="n"/>
      <c r="N795" s="78" t="n"/>
    </row>
    <row r="796">
      <c r="K796" s="93" t="n"/>
      <c r="L796" s="78" t="n"/>
      <c r="M796" s="78" t="n"/>
      <c r="N796" s="78" t="n"/>
    </row>
    <row r="797">
      <c r="K797" s="93" t="n"/>
      <c r="L797" s="78" t="n"/>
      <c r="M797" s="78" t="n"/>
      <c r="N797" s="78" t="n"/>
    </row>
    <row r="798">
      <c r="K798" s="93" t="n"/>
      <c r="L798" s="78" t="n"/>
      <c r="M798" s="78" t="n"/>
      <c r="N798" s="78" t="n"/>
    </row>
    <row r="799">
      <c r="K799" s="93" t="n"/>
      <c r="L799" s="78" t="n"/>
      <c r="M799" s="78" t="n"/>
      <c r="N799" s="78" t="n"/>
    </row>
    <row r="800">
      <c r="K800" s="93" t="n"/>
      <c r="L800" s="78" t="n"/>
      <c r="M800" s="78" t="n"/>
      <c r="N800" s="78" t="n"/>
    </row>
    <row r="801">
      <c r="K801" s="93" t="n"/>
      <c r="L801" s="78" t="n"/>
      <c r="M801" s="78" t="n"/>
      <c r="N801" s="78" t="n"/>
    </row>
    <row r="802">
      <c r="K802" s="93" t="n"/>
      <c r="L802" s="78" t="n"/>
      <c r="M802" s="78" t="n"/>
      <c r="N802" s="78" t="n"/>
    </row>
    <row r="803">
      <c r="K803" s="93" t="n"/>
      <c r="L803" s="78" t="n"/>
      <c r="M803" s="78" t="n"/>
      <c r="N803" s="78" t="n"/>
    </row>
    <row r="804">
      <c r="K804" s="93" t="n"/>
      <c r="L804" s="78" t="n"/>
      <c r="M804" s="78" t="n"/>
      <c r="N804" s="78" t="n"/>
    </row>
    <row r="805">
      <c r="K805" s="93" t="n"/>
      <c r="L805" s="78" t="n"/>
      <c r="M805" s="78" t="n"/>
      <c r="N805" s="78" t="n"/>
    </row>
    <row r="806">
      <c r="K806" s="93" t="n"/>
      <c r="L806" s="78" t="n"/>
      <c r="M806" s="78" t="n"/>
      <c r="N806" s="78" t="n"/>
    </row>
    <row r="807">
      <c r="K807" s="93" t="n"/>
      <c r="L807" s="78" t="n"/>
      <c r="M807" s="78" t="n"/>
      <c r="N807" s="78" t="n"/>
    </row>
    <row r="808">
      <c r="K808" s="93" t="n"/>
      <c r="L808" s="78" t="n"/>
      <c r="M808" s="78" t="n"/>
      <c r="N808" s="78" t="n"/>
    </row>
    <row r="809">
      <c r="K809" s="93" t="n"/>
      <c r="L809" s="78" t="n"/>
      <c r="M809" s="78" t="n"/>
      <c r="N809" s="78" t="n"/>
    </row>
    <row r="810">
      <c r="K810" s="93" t="n"/>
      <c r="L810" s="78" t="n"/>
      <c r="M810" s="78" t="n"/>
      <c r="N810" s="78" t="n"/>
    </row>
    <row r="811">
      <c r="K811" s="93" t="n"/>
      <c r="L811" s="78" t="n"/>
      <c r="M811" s="78" t="n"/>
      <c r="N811" s="78" t="n"/>
    </row>
    <row r="812">
      <c r="K812" s="93" t="n"/>
      <c r="L812" s="78" t="n"/>
      <c r="M812" s="78" t="n"/>
      <c r="N812" s="78" t="n"/>
    </row>
    <row r="813">
      <c r="K813" s="93" t="n"/>
      <c r="L813" s="78" t="n"/>
      <c r="M813" s="78" t="n"/>
      <c r="N813" s="78" t="n"/>
    </row>
    <row r="814">
      <c r="K814" s="93" t="n"/>
      <c r="L814" s="78" t="n"/>
      <c r="M814" s="78" t="n"/>
      <c r="N814" s="78" t="n"/>
    </row>
    <row r="815">
      <c r="K815" s="93" t="n"/>
      <c r="L815" s="78" t="n"/>
      <c r="M815" s="78" t="n"/>
      <c r="N815" s="78" t="n"/>
    </row>
    <row r="816">
      <c r="K816" s="93" t="n"/>
      <c r="L816" s="78" t="n"/>
      <c r="M816" s="78" t="n"/>
      <c r="N816" s="78" t="n"/>
    </row>
    <row r="817">
      <c r="K817" s="93" t="n"/>
      <c r="L817" s="78" t="n"/>
      <c r="M817" s="78" t="n"/>
      <c r="N817" s="78" t="n"/>
    </row>
    <row r="818">
      <c r="K818" s="93" t="n"/>
      <c r="L818" s="78" t="n"/>
      <c r="M818" s="78" t="n"/>
      <c r="N818" s="78" t="n"/>
    </row>
    <row r="819">
      <c r="K819" s="93" t="n"/>
      <c r="L819" s="78" t="n"/>
      <c r="M819" s="78" t="n"/>
      <c r="N819" s="78" t="n"/>
    </row>
    <row r="820">
      <c r="K820" s="93" t="n"/>
      <c r="L820" s="78" t="n"/>
      <c r="M820" s="78" t="n"/>
      <c r="N820" s="78" t="n"/>
    </row>
    <row r="821">
      <c r="K821" s="93" t="n"/>
      <c r="L821" s="78" t="n"/>
      <c r="M821" s="78" t="n"/>
      <c r="N821" s="78" t="n"/>
    </row>
    <row r="822">
      <c r="K822" s="93" t="n"/>
      <c r="L822" s="78" t="n"/>
      <c r="M822" s="78" t="n"/>
      <c r="N822" s="78" t="n"/>
    </row>
    <row r="823">
      <c r="K823" s="93" t="n"/>
      <c r="L823" s="78" t="n"/>
      <c r="M823" s="78" t="n"/>
      <c r="N823" s="78" t="n"/>
    </row>
    <row r="824">
      <c r="K824" s="93" t="n"/>
      <c r="L824" s="78" t="n"/>
      <c r="M824" s="78" t="n"/>
      <c r="N824" s="78" t="n"/>
    </row>
    <row r="825">
      <c r="K825" s="93" t="n"/>
      <c r="L825" s="78" t="n"/>
      <c r="M825" s="78" t="n"/>
      <c r="N825" s="78" t="n"/>
    </row>
    <row r="826">
      <c r="K826" s="93" t="n"/>
      <c r="L826" s="78" t="n"/>
      <c r="M826" s="78" t="n"/>
      <c r="N826" s="78" t="n"/>
    </row>
    <row r="827">
      <c r="K827" s="93" t="n"/>
      <c r="L827" s="78" t="n"/>
      <c r="M827" s="78" t="n"/>
      <c r="N827" s="78" t="n"/>
    </row>
    <row r="828">
      <c r="K828" s="93" t="n"/>
      <c r="L828" s="78" t="n"/>
      <c r="M828" s="78" t="n"/>
      <c r="N828" s="78" t="n"/>
    </row>
    <row r="829">
      <c r="K829" s="93" t="n"/>
      <c r="L829" s="78" t="n"/>
      <c r="M829" s="78" t="n"/>
      <c r="N829" s="78" t="n"/>
    </row>
    <row r="830">
      <c r="K830" s="93" t="n"/>
      <c r="L830" s="78" t="n"/>
      <c r="M830" s="78" t="n"/>
      <c r="N830" s="78" t="n"/>
    </row>
    <row r="831">
      <c r="K831" s="93" t="n"/>
      <c r="L831" s="78" t="n"/>
      <c r="M831" s="78" t="n"/>
      <c r="N831" s="78" t="n"/>
    </row>
    <row r="832">
      <c r="K832" s="93" t="n"/>
      <c r="L832" s="78" t="n"/>
      <c r="M832" s="78" t="n"/>
      <c r="N832" s="78" t="n"/>
    </row>
    <row r="833">
      <c r="K833" s="93" t="n"/>
      <c r="L833" s="78" t="n"/>
      <c r="M833" s="78" t="n"/>
      <c r="N833" s="78" t="n"/>
    </row>
    <row r="834">
      <c r="K834" s="93" t="n"/>
      <c r="L834" s="78" t="n"/>
      <c r="M834" s="78" t="n"/>
      <c r="N834" s="78" t="n"/>
    </row>
    <row r="835">
      <c r="K835" s="93" t="n"/>
      <c r="L835" s="78" t="n"/>
      <c r="M835" s="78" t="n"/>
      <c r="N835" s="78" t="n"/>
    </row>
    <row r="836">
      <c r="K836" s="93" t="n"/>
      <c r="L836" s="78" t="n"/>
      <c r="M836" s="78" t="n"/>
      <c r="N836" s="78" t="n"/>
    </row>
    <row r="837">
      <c r="K837" s="93" t="n"/>
      <c r="L837" s="78" t="n"/>
      <c r="M837" s="78" t="n"/>
      <c r="N837" s="78" t="n"/>
    </row>
    <row r="838">
      <c r="K838" s="93" t="n"/>
      <c r="L838" s="78" t="n"/>
      <c r="M838" s="78" t="n"/>
      <c r="N838" s="78" t="n"/>
    </row>
    <row r="839">
      <c r="K839" s="93" t="n"/>
      <c r="L839" s="78" t="n"/>
      <c r="M839" s="78" t="n"/>
      <c r="N839" s="78" t="n"/>
    </row>
    <row r="840">
      <c r="K840" s="93" t="n"/>
      <c r="L840" s="78" t="n"/>
      <c r="M840" s="78" t="n"/>
      <c r="N840" s="78" t="n"/>
    </row>
    <row r="841">
      <c r="K841" s="93" t="n"/>
      <c r="L841" s="78" t="n"/>
      <c r="M841" s="78" t="n"/>
      <c r="N841" s="78" t="n"/>
    </row>
    <row r="842">
      <c r="K842" s="93" t="n"/>
      <c r="L842" s="78" t="n"/>
      <c r="M842" s="78" t="n"/>
      <c r="N842" s="78" t="n"/>
    </row>
    <row r="843">
      <c r="K843" s="93" t="n"/>
      <c r="L843" s="78" t="n"/>
      <c r="M843" s="78" t="n"/>
      <c r="N843" s="78" t="n"/>
    </row>
    <row r="844">
      <c r="K844" s="93" t="n"/>
      <c r="L844" s="78" t="n"/>
      <c r="M844" s="78" t="n"/>
      <c r="N844" s="78" t="n"/>
    </row>
    <row r="845">
      <c r="K845" s="93" t="n"/>
      <c r="L845" s="78" t="n"/>
      <c r="M845" s="78" t="n"/>
      <c r="N845" s="78" t="n"/>
    </row>
    <row r="846">
      <c r="K846" s="93" t="n"/>
      <c r="L846" s="78" t="n"/>
      <c r="M846" s="78" t="n"/>
      <c r="N846" s="78" t="n"/>
    </row>
    <row r="847">
      <c r="K847" s="93" t="n"/>
      <c r="L847" s="78" t="n"/>
      <c r="M847" s="78" t="n"/>
      <c r="N847" s="78" t="n"/>
    </row>
    <row r="848">
      <c r="K848" s="93" t="n"/>
      <c r="L848" s="78" t="n"/>
      <c r="M848" s="78" t="n"/>
      <c r="N848" s="78" t="n"/>
    </row>
    <row r="849">
      <c r="K849" s="93" t="n"/>
      <c r="L849" s="78" t="n"/>
      <c r="M849" s="78" t="n"/>
      <c r="N849" s="78" t="n"/>
    </row>
    <row r="850">
      <c r="K850" s="93" t="n"/>
      <c r="L850" s="78" t="n"/>
      <c r="M850" s="78" t="n"/>
      <c r="N850" s="78" t="n"/>
    </row>
    <row r="851">
      <c r="K851" s="93" t="n"/>
      <c r="L851" s="78" t="n"/>
      <c r="M851" s="78" t="n"/>
      <c r="N851" s="78" t="n"/>
    </row>
    <row r="852">
      <c r="K852" s="93" t="n"/>
      <c r="L852" s="78" t="n"/>
      <c r="M852" s="78" t="n"/>
      <c r="N852" s="78" t="n"/>
    </row>
    <row r="853">
      <c r="K853" s="93" t="n"/>
      <c r="L853" s="78" t="n"/>
      <c r="M853" s="78" t="n"/>
      <c r="N853" s="78" t="n"/>
    </row>
    <row r="854">
      <c r="K854" s="93" t="n"/>
      <c r="L854" s="78" t="n"/>
      <c r="M854" s="78" t="n"/>
      <c r="N854" s="78" t="n"/>
    </row>
    <row r="855">
      <c r="K855" s="93" t="n"/>
      <c r="L855" s="78" t="n"/>
      <c r="M855" s="78" t="n"/>
      <c r="N855" s="78" t="n"/>
    </row>
    <row r="856">
      <c r="K856" s="93" t="n"/>
      <c r="L856" s="78" t="n"/>
      <c r="M856" s="78" t="n"/>
      <c r="N856" s="78" t="n"/>
    </row>
    <row r="857">
      <c r="K857" s="93" t="n"/>
      <c r="L857" s="78" t="n"/>
      <c r="M857" s="78" t="n"/>
      <c r="N857" s="78" t="n"/>
    </row>
    <row r="858">
      <c r="K858" s="93" t="n"/>
      <c r="L858" s="78" t="n"/>
      <c r="M858" s="78" t="n"/>
      <c r="N858" s="78" t="n"/>
    </row>
    <row r="859">
      <c r="K859" s="93" t="n"/>
      <c r="L859" s="78" t="n"/>
      <c r="M859" s="78" t="n"/>
      <c r="N859" s="78" t="n"/>
    </row>
    <row r="860">
      <c r="K860" s="93" t="n"/>
      <c r="L860" s="78" t="n"/>
      <c r="M860" s="78" t="n"/>
      <c r="N860" s="78" t="n"/>
    </row>
    <row r="861">
      <c r="K861" s="93" t="n"/>
      <c r="L861" s="78" t="n"/>
      <c r="M861" s="78" t="n"/>
      <c r="N861" s="78" t="n"/>
    </row>
    <row r="862">
      <c r="K862" s="93" t="n"/>
      <c r="L862" s="78" t="n"/>
      <c r="M862" s="78" t="n"/>
      <c r="N862" s="78" t="n"/>
    </row>
    <row r="863">
      <c r="K863" s="93" t="n"/>
      <c r="L863" s="78" t="n"/>
      <c r="M863" s="78" t="n"/>
      <c r="N863" s="78" t="n"/>
    </row>
    <row r="864">
      <c r="K864" s="93" t="n"/>
      <c r="L864" s="78" t="n"/>
      <c r="M864" s="78" t="n"/>
      <c r="N864" s="78" t="n"/>
    </row>
    <row r="865">
      <c r="K865" s="93" t="n"/>
      <c r="L865" s="78" t="n"/>
      <c r="M865" s="78" t="n"/>
      <c r="N865" s="78" t="n"/>
    </row>
    <row r="866">
      <c r="K866" s="93" t="n"/>
      <c r="L866" s="78" t="n"/>
      <c r="M866" s="78" t="n"/>
      <c r="N866" s="78" t="n"/>
    </row>
    <row r="867">
      <c r="K867" s="93" t="n"/>
      <c r="L867" s="78" t="n"/>
      <c r="M867" s="78" t="n"/>
      <c r="N867" s="78" t="n"/>
    </row>
    <row r="868">
      <c r="K868" s="93" t="n"/>
      <c r="L868" s="78" t="n"/>
      <c r="M868" s="78" t="n"/>
      <c r="N868" s="78" t="n"/>
    </row>
    <row r="869">
      <c r="K869" s="93" t="n"/>
      <c r="L869" s="78" t="n"/>
      <c r="M869" s="78" t="n"/>
      <c r="N869" s="78" t="n"/>
    </row>
    <row r="870">
      <c r="K870" s="93" t="n"/>
      <c r="L870" s="78" t="n"/>
      <c r="M870" s="78" t="n"/>
      <c r="N870" s="78" t="n"/>
    </row>
    <row r="871">
      <c r="K871" s="93" t="n"/>
      <c r="L871" s="78" t="n"/>
      <c r="M871" s="78" t="n"/>
      <c r="N871" s="78" t="n"/>
    </row>
    <row r="872">
      <c r="K872" s="93" t="n"/>
      <c r="L872" s="78" t="n"/>
      <c r="M872" s="78" t="n"/>
      <c r="N872" s="78" t="n"/>
    </row>
    <row r="873">
      <c r="K873" s="93" t="n"/>
      <c r="L873" s="78" t="n"/>
      <c r="M873" s="78" t="n"/>
      <c r="N873" s="78" t="n"/>
    </row>
    <row r="874">
      <c r="K874" s="93" t="n"/>
      <c r="L874" s="78" t="n"/>
      <c r="M874" s="78" t="n"/>
      <c r="N874" s="78" t="n"/>
    </row>
    <row r="875">
      <c r="K875" s="93" t="n"/>
      <c r="L875" s="78" t="n"/>
      <c r="M875" s="78" t="n"/>
      <c r="N875" s="78" t="n"/>
    </row>
    <row r="876">
      <c r="K876" s="93" t="n"/>
      <c r="L876" s="78" t="n"/>
      <c r="M876" s="78" t="n"/>
      <c r="N876" s="78" t="n"/>
    </row>
    <row r="877">
      <c r="K877" s="93" t="n"/>
      <c r="L877" s="78" t="n"/>
      <c r="M877" s="78" t="n"/>
      <c r="N877" s="78" t="n"/>
    </row>
    <row r="878">
      <c r="K878" s="93" t="n"/>
      <c r="L878" s="78" t="n"/>
      <c r="M878" s="78" t="n"/>
      <c r="N878" s="78" t="n"/>
    </row>
    <row r="879">
      <c r="K879" s="93" t="n"/>
      <c r="L879" s="78" t="n"/>
      <c r="M879" s="78" t="n"/>
      <c r="N879" s="78" t="n"/>
    </row>
    <row r="880">
      <c r="K880" s="93" t="n"/>
      <c r="L880" s="78" t="n"/>
      <c r="M880" s="78" t="n"/>
      <c r="N880" s="78" t="n"/>
    </row>
    <row r="881">
      <c r="K881" s="93" t="n"/>
      <c r="L881" s="78" t="n"/>
      <c r="M881" s="78" t="n"/>
      <c r="N881" s="78" t="n"/>
    </row>
    <row r="882">
      <c r="K882" s="93" t="n"/>
      <c r="L882" s="78" t="n"/>
      <c r="M882" s="78" t="n"/>
      <c r="N882" s="78" t="n"/>
    </row>
    <row r="883">
      <c r="K883" s="93" t="n"/>
      <c r="L883" s="78" t="n"/>
      <c r="M883" s="78" t="n"/>
      <c r="N883" s="78" t="n"/>
    </row>
    <row r="884">
      <c r="K884" s="93" t="n"/>
      <c r="L884" s="78" t="n"/>
      <c r="M884" s="78" t="n"/>
      <c r="N884" s="78" t="n"/>
    </row>
    <row r="885">
      <c r="K885" s="93" t="n"/>
      <c r="L885" s="78" t="n"/>
      <c r="M885" s="78" t="n"/>
      <c r="N885" s="78" t="n"/>
    </row>
    <row r="886">
      <c r="K886" s="93" t="n"/>
      <c r="L886" s="78" t="n"/>
      <c r="M886" s="78" t="n"/>
      <c r="N886" s="78" t="n"/>
    </row>
    <row r="887">
      <c r="K887" s="93" t="n"/>
      <c r="L887" s="78" t="n"/>
      <c r="M887" s="78" t="n"/>
      <c r="N887" s="78" t="n"/>
    </row>
    <row r="888">
      <c r="K888" s="93" t="n"/>
      <c r="L888" s="78" t="n"/>
      <c r="M888" s="78" t="n"/>
      <c r="N888" s="78" t="n"/>
    </row>
    <row r="889">
      <c r="K889" s="93" t="n"/>
      <c r="L889" s="78" t="n"/>
      <c r="M889" s="78" t="n"/>
      <c r="N889" s="78" t="n"/>
    </row>
    <row r="890">
      <c r="K890" s="93" t="n"/>
      <c r="L890" s="78" t="n"/>
      <c r="M890" s="78" t="n"/>
      <c r="N890" s="78" t="n"/>
    </row>
    <row r="891">
      <c r="K891" s="93" t="n"/>
      <c r="L891" s="78" t="n"/>
      <c r="M891" s="78" t="n"/>
      <c r="N891" s="78" t="n"/>
    </row>
    <row r="892">
      <c r="K892" s="93" t="n"/>
      <c r="L892" s="78" t="n"/>
      <c r="M892" s="78" t="n"/>
      <c r="N892" s="78" t="n"/>
    </row>
    <row r="893">
      <c r="K893" s="93" t="n"/>
      <c r="L893" s="78" t="n"/>
      <c r="M893" s="78" t="n"/>
      <c r="N893" s="78" t="n"/>
    </row>
    <row r="894">
      <c r="K894" s="93" t="n"/>
      <c r="L894" s="78" t="n"/>
      <c r="M894" s="78" t="n"/>
      <c r="N894" s="78" t="n"/>
    </row>
    <row r="895">
      <c r="K895" s="93" t="n"/>
      <c r="L895" s="78" t="n"/>
      <c r="M895" s="78" t="n"/>
      <c r="N895" s="78" t="n"/>
    </row>
    <row r="896">
      <c r="K896" s="93" t="n"/>
      <c r="L896" s="78" t="n"/>
      <c r="M896" s="78" t="n"/>
      <c r="N896" s="78" t="n"/>
    </row>
    <row r="897">
      <c r="K897" s="93" t="n"/>
      <c r="L897" s="78" t="n"/>
      <c r="M897" s="78" t="n"/>
      <c r="N897" s="78" t="n"/>
    </row>
    <row r="898">
      <c r="K898" s="93" t="n"/>
      <c r="L898" s="78" t="n"/>
      <c r="M898" s="78" t="n"/>
      <c r="N898" s="78" t="n"/>
    </row>
    <row r="899">
      <c r="K899" s="93" t="n"/>
      <c r="L899" s="78" t="n"/>
      <c r="M899" s="78" t="n"/>
      <c r="N899" s="78" t="n"/>
    </row>
    <row r="900">
      <c r="K900" s="93" t="n"/>
      <c r="L900" s="78" t="n"/>
      <c r="M900" s="78" t="n"/>
      <c r="N900" s="78" t="n"/>
    </row>
    <row r="901">
      <c r="K901" s="93" t="n"/>
      <c r="L901" s="78" t="n"/>
      <c r="M901" s="78" t="n"/>
      <c r="N901" s="78" t="n"/>
    </row>
    <row r="902">
      <c r="K902" s="93" t="n"/>
      <c r="L902" s="78" t="n"/>
      <c r="M902" s="78" t="n"/>
      <c r="N902" s="78" t="n"/>
    </row>
    <row r="903">
      <c r="K903" s="93" t="n"/>
      <c r="L903" s="78" t="n"/>
      <c r="M903" s="78" t="n"/>
      <c r="N903" s="78" t="n"/>
    </row>
    <row r="904">
      <c r="K904" s="93" t="n"/>
      <c r="L904" s="78" t="n"/>
      <c r="M904" s="78" t="n"/>
      <c r="N904" s="78" t="n"/>
    </row>
    <row r="905">
      <c r="K905" s="93" t="n"/>
      <c r="L905" s="78" t="n"/>
      <c r="M905" s="78" t="n"/>
      <c r="N905" s="78" t="n"/>
    </row>
    <row r="906">
      <c r="K906" s="93" t="n"/>
      <c r="L906" s="78" t="n"/>
      <c r="M906" s="78" t="n"/>
      <c r="N906" s="78" t="n"/>
    </row>
    <row r="907">
      <c r="K907" s="93" t="n"/>
      <c r="L907" s="78" t="n"/>
      <c r="M907" s="78" t="n"/>
      <c r="N907" s="78" t="n"/>
    </row>
    <row r="908">
      <c r="K908" s="93" t="n"/>
      <c r="L908" s="78" t="n"/>
      <c r="M908" s="78" t="n"/>
      <c r="N908" s="78" t="n"/>
    </row>
    <row r="909">
      <c r="K909" s="93" t="n"/>
      <c r="L909" s="78" t="n"/>
      <c r="M909" s="78" t="n"/>
      <c r="N909" s="78" t="n"/>
    </row>
    <row r="910">
      <c r="K910" s="93" t="n"/>
      <c r="L910" s="78" t="n"/>
      <c r="M910" s="78" t="n"/>
      <c r="N910" s="78" t="n"/>
    </row>
    <row r="911">
      <c r="K911" s="93" t="n"/>
      <c r="L911" s="78" t="n"/>
      <c r="M911" s="78" t="n"/>
      <c r="N911" s="78" t="n"/>
    </row>
    <row r="912">
      <c r="K912" s="93" t="n"/>
      <c r="L912" s="78" t="n"/>
      <c r="M912" s="78" t="n"/>
      <c r="N912" s="78" t="n"/>
    </row>
    <row r="913">
      <c r="K913" s="93" t="n"/>
      <c r="L913" s="78" t="n"/>
      <c r="M913" s="78" t="n"/>
      <c r="N913" s="78" t="n"/>
    </row>
    <row r="914">
      <c r="K914" s="93" t="n"/>
      <c r="L914" s="78" t="n"/>
      <c r="M914" s="78" t="n"/>
      <c r="N914" s="78" t="n"/>
    </row>
    <row r="915">
      <c r="K915" s="93" t="n"/>
      <c r="L915" s="78" t="n"/>
      <c r="M915" s="78" t="n"/>
      <c r="N915" s="78" t="n"/>
    </row>
    <row r="916">
      <c r="K916" s="93" t="n"/>
      <c r="L916" s="78" t="n"/>
      <c r="M916" s="78" t="n"/>
      <c r="N916" s="78" t="n"/>
    </row>
    <row r="917">
      <c r="K917" s="93" t="n"/>
      <c r="L917" s="78" t="n"/>
      <c r="M917" s="78" t="n"/>
      <c r="N917" s="78" t="n"/>
    </row>
    <row r="918">
      <c r="K918" s="93" t="n"/>
      <c r="L918" s="78" t="n"/>
      <c r="M918" s="78" t="n"/>
      <c r="N918" s="78" t="n"/>
    </row>
    <row r="919">
      <c r="K919" s="93" t="n"/>
      <c r="L919" s="78" t="n"/>
      <c r="M919" s="78" t="n"/>
      <c r="N919" s="78" t="n"/>
    </row>
    <row r="920">
      <c r="K920" s="93" t="n"/>
      <c r="L920" s="78" t="n"/>
      <c r="M920" s="78" t="n"/>
      <c r="N920" s="78" t="n"/>
    </row>
    <row r="921">
      <c r="K921" s="93" t="n"/>
      <c r="L921" s="78" t="n"/>
      <c r="M921" s="78" t="n"/>
      <c r="N921" s="78" t="n"/>
    </row>
    <row r="922">
      <c r="K922" s="93" t="n"/>
      <c r="L922" s="78" t="n"/>
      <c r="M922" s="78" t="n"/>
      <c r="N922" s="78" t="n"/>
    </row>
    <row r="923">
      <c r="K923" s="93" t="n"/>
      <c r="L923" s="78" t="n"/>
      <c r="M923" s="78" t="n"/>
      <c r="N923" s="78" t="n"/>
    </row>
    <row r="924">
      <c r="K924" s="93" t="n"/>
      <c r="L924" s="78" t="n"/>
      <c r="M924" s="78" t="n"/>
      <c r="N924" s="78" t="n"/>
    </row>
    <row r="925">
      <c r="K925" s="93" t="n"/>
      <c r="L925" s="78" t="n"/>
      <c r="M925" s="78" t="n"/>
      <c r="N925" s="78" t="n"/>
    </row>
    <row r="926">
      <c r="K926" s="93" t="n"/>
      <c r="L926" s="78" t="n"/>
      <c r="M926" s="78" t="n"/>
      <c r="N926" s="78" t="n"/>
    </row>
    <row r="927">
      <c r="K927" s="93" t="n"/>
      <c r="L927" s="78" t="n"/>
      <c r="M927" s="78" t="n"/>
      <c r="N927" s="78" t="n"/>
    </row>
    <row r="928">
      <c r="K928" s="93" t="n"/>
      <c r="L928" s="78" t="n"/>
      <c r="M928" s="78" t="n"/>
      <c r="N928" s="78" t="n"/>
    </row>
    <row r="929">
      <c r="K929" s="93" t="n"/>
      <c r="L929" s="78" t="n"/>
      <c r="M929" s="78" t="n"/>
      <c r="N929" s="78" t="n"/>
    </row>
    <row r="930">
      <c r="K930" s="93" t="n"/>
      <c r="L930" s="78" t="n"/>
      <c r="M930" s="78" t="n"/>
      <c r="N930" s="78" t="n"/>
    </row>
    <row r="931">
      <c r="K931" s="93" t="n"/>
      <c r="L931" s="78" t="n"/>
      <c r="M931" s="78" t="n"/>
      <c r="N931" s="78" t="n"/>
    </row>
    <row r="932">
      <c r="K932" s="93" t="n"/>
      <c r="L932" s="78" t="n"/>
      <c r="M932" s="78" t="n"/>
      <c r="N932" s="78" t="n"/>
    </row>
    <row r="933">
      <c r="K933" s="93" t="n"/>
      <c r="L933" s="78" t="n"/>
      <c r="M933" s="78" t="n"/>
      <c r="N933" s="78" t="n"/>
    </row>
    <row r="934">
      <c r="K934" s="93" t="n"/>
      <c r="L934" s="78" t="n"/>
      <c r="M934" s="78" t="n"/>
      <c r="N934" s="78" t="n"/>
    </row>
    <row r="935">
      <c r="K935" s="93" t="n"/>
      <c r="L935" s="78" t="n"/>
      <c r="M935" s="78" t="n"/>
      <c r="N935" s="78" t="n"/>
    </row>
    <row r="936">
      <c r="K936" s="93" t="n"/>
      <c r="L936" s="78" t="n"/>
      <c r="M936" s="78" t="n"/>
      <c r="N936" s="78" t="n"/>
    </row>
    <row r="937">
      <c r="K937" s="93" t="n"/>
      <c r="L937" s="78" t="n"/>
      <c r="M937" s="78" t="n"/>
      <c r="N937" s="78" t="n"/>
    </row>
    <row r="938">
      <c r="K938" s="93" t="n"/>
      <c r="L938" s="78" t="n"/>
      <c r="M938" s="78" t="n"/>
      <c r="N938" s="78" t="n"/>
    </row>
    <row r="939">
      <c r="K939" s="93" t="n"/>
      <c r="L939" s="78" t="n"/>
      <c r="M939" s="78" t="n"/>
      <c r="N939" s="78" t="n"/>
    </row>
    <row r="940">
      <c r="K940" s="93" t="n"/>
      <c r="L940" s="78" t="n"/>
      <c r="M940" s="78" t="n"/>
      <c r="N940" s="78" t="n"/>
    </row>
    <row r="941">
      <c r="K941" s="93" t="n"/>
      <c r="L941" s="78" t="n"/>
      <c r="M941" s="78" t="n"/>
      <c r="N941" s="78" t="n"/>
    </row>
    <row r="942">
      <c r="K942" s="93" t="n"/>
      <c r="L942" s="78" t="n"/>
      <c r="M942" s="78" t="n"/>
      <c r="N942" s="78" t="n"/>
    </row>
    <row r="943">
      <c r="K943" s="93" t="n"/>
      <c r="L943" s="78" t="n"/>
      <c r="M943" s="78" t="n"/>
      <c r="N943" s="78" t="n"/>
    </row>
    <row r="944">
      <c r="K944" s="93" t="n"/>
      <c r="L944" s="78" t="n"/>
      <c r="M944" s="78" t="n"/>
      <c r="N944" s="78" t="n"/>
    </row>
    <row r="945">
      <c r="K945" s="93" t="n"/>
      <c r="L945" s="78" t="n"/>
      <c r="M945" s="78" t="n"/>
      <c r="N945" s="78" t="n"/>
    </row>
    <row r="946">
      <c r="K946" s="93" t="n"/>
      <c r="L946" s="78" t="n"/>
      <c r="M946" s="78" t="n"/>
      <c r="N946" s="78" t="n"/>
    </row>
    <row r="947">
      <c r="K947" s="93" t="n"/>
      <c r="L947" s="78" t="n"/>
      <c r="M947" s="78" t="n"/>
      <c r="N947" s="78" t="n"/>
    </row>
    <row r="948">
      <c r="K948" s="93" t="n"/>
      <c r="L948" s="78" t="n"/>
      <c r="M948" s="78" t="n"/>
      <c r="N948" s="78" t="n"/>
    </row>
    <row r="949">
      <c r="K949" s="93" t="n"/>
      <c r="L949" s="78" t="n"/>
      <c r="M949" s="78" t="n"/>
      <c r="N949" s="78" t="n"/>
    </row>
    <row r="950">
      <c r="K950" s="93" t="n"/>
      <c r="L950" s="78" t="n"/>
      <c r="M950" s="78" t="n"/>
      <c r="N950" s="78" t="n"/>
    </row>
    <row r="951">
      <c r="K951" s="93" t="n"/>
      <c r="L951" s="78" t="n"/>
      <c r="M951" s="78" t="n"/>
      <c r="N951" s="78" t="n"/>
    </row>
    <row r="952">
      <c r="K952" s="93" t="n"/>
      <c r="L952" s="78" t="n"/>
      <c r="M952" s="78" t="n"/>
      <c r="N952" s="78" t="n"/>
    </row>
    <row r="953">
      <c r="K953" s="93" t="n"/>
      <c r="L953" s="78" t="n"/>
      <c r="M953" s="78" t="n"/>
      <c r="N953" s="78" t="n"/>
    </row>
    <row r="954">
      <c r="K954" s="93" t="n"/>
      <c r="L954" s="78" t="n"/>
      <c r="M954" s="78" t="n"/>
      <c r="N954" s="78" t="n"/>
    </row>
    <row r="955">
      <c r="K955" s="93" t="n"/>
      <c r="L955" s="78" t="n"/>
      <c r="M955" s="78" t="n"/>
      <c r="N955" s="78" t="n"/>
    </row>
    <row r="956">
      <c r="K956" s="93" t="n"/>
      <c r="L956" s="78" t="n"/>
      <c r="M956" s="78" t="n"/>
      <c r="N956" s="78" t="n"/>
    </row>
    <row r="957">
      <c r="K957" s="93" t="n"/>
      <c r="L957" s="78" t="n"/>
      <c r="M957" s="78" t="n"/>
      <c r="N957" s="78" t="n"/>
    </row>
    <row r="958">
      <c r="K958" s="93" t="n"/>
      <c r="L958" s="78" t="n"/>
      <c r="M958" s="78" t="n"/>
      <c r="N958" s="78" t="n"/>
    </row>
    <row r="959">
      <c r="K959" s="93" t="n"/>
      <c r="L959" s="78" t="n"/>
      <c r="M959" s="78" t="n"/>
      <c r="N959" s="78" t="n"/>
    </row>
    <row r="960">
      <c r="K960" s="93" t="n"/>
      <c r="L960" s="78" t="n"/>
      <c r="M960" s="78" t="n"/>
      <c r="N960" s="78" t="n"/>
    </row>
    <row r="961">
      <c r="K961" s="93" t="n"/>
      <c r="L961" s="78" t="n"/>
      <c r="M961" s="78" t="n"/>
      <c r="N961" s="78" t="n"/>
    </row>
    <row r="962">
      <c r="K962" s="93" t="n"/>
      <c r="L962" s="78" t="n"/>
      <c r="M962" s="78" t="n"/>
      <c r="N962" s="78" t="n"/>
    </row>
    <row r="963">
      <c r="K963" s="93" t="n"/>
      <c r="L963" s="78" t="n"/>
      <c r="M963" s="78" t="n"/>
      <c r="N963" s="78" t="n"/>
    </row>
    <row r="964">
      <c r="K964" s="93" t="n"/>
      <c r="L964" s="78" t="n"/>
      <c r="M964" s="78" t="n"/>
      <c r="N964" s="78" t="n"/>
    </row>
    <row r="965">
      <c r="K965" s="93" t="n"/>
      <c r="L965" s="78" t="n"/>
      <c r="M965" s="78" t="n"/>
      <c r="N965" s="78" t="n"/>
    </row>
    <row r="966">
      <c r="K966" s="93" t="n"/>
      <c r="L966" s="78" t="n"/>
      <c r="M966" s="78" t="n"/>
      <c r="N966" s="78" t="n"/>
    </row>
    <row r="967">
      <c r="K967" s="93" t="n"/>
      <c r="L967" s="78" t="n"/>
      <c r="M967" s="78" t="n"/>
      <c r="N967" s="78" t="n"/>
    </row>
    <row r="968">
      <c r="K968" s="93" t="n"/>
      <c r="L968" s="78" t="n"/>
      <c r="M968" s="78" t="n"/>
      <c r="N968" s="78" t="n"/>
    </row>
    <row r="969">
      <c r="K969" s="93" t="n"/>
      <c r="L969" s="78" t="n"/>
      <c r="M969" s="78" t="n"/>
      <c r="N969" s="78" t="n"/>
    </row>
    <row r="970">
      <c r="K970" s="93" t="n"/>
      <c r="L970" s="78" t="n"/>
      <c r="M970" s="78" t="n"/>
      <c r="N970" s="78" t="n"/>
    </row>
    <row r="971">
      <c r="K971" s="93" t="n"/>
      <c r="L971" s="78" t="n"/>
      <c r="M971" s="78" t="n"/>
      <c r="N971" s="78" t="n"/>
    </row>
    <row r="972">
      <c r="K972" s="93" t="n"/>
      <c r="L972" s="78" t="n"/>
      <c r="M972" s="78" t="n"/>
      <c r="N972" s="78" t="n"/>
    </row>
    <row r="973">
      <c r="K973" s="93" t="n"/>
      <c r="L973" s="78" t="n"/>
      <c r="M973" s="78" t="n"/>
      <c r="N973" s="78" t="n"/>
    </row>
    <row r="974">
      <c r="K974" s="93" t="n"/>
      <c r="L974" s="78" t="n"/>
      <c r="M974" s="78" t="n"/>
      <c r="N974" s="78" t="n"/>
    </row>
    <row r="975">
      <c r="K975" s="93" t="n"/>
      <c r="L975" s="78" t="n"/>
      <c r="M975" s="78" t="n"/>
      <c r="N975" s="78" t="n"/>
    </row>
    <row r="976">
      <c r="K976" s="93" t="n"/>
      <c r="L976" s="78" t="n"/>
      <c r="M976" s="78" t="n"/>
      <c r="N976" s="78" t="n"/>
    </row>
    <row r="977">
      <c r="K977" s="93" t="n"/>
      <c r="L977" s="78" t="n"/>
      <c r="M977" s="78" t="n"/>
      <c r="N977" s="78" t="n"/>
    </row>
    <row r="978">
      <c r="K978" s="93" t="n"/>
      <c r="L978" s="78" t="n"/>
      <c r="M978" s="78" t="n"/>
      <c r="N978" s="78" t="n"/>
    </row>
    <row r="979">
      <c r="K979" s="93" t="n"/>
      <c r="L979" s="78" t="n"/>
      <c r="M979" s="78" t="n"/>
      <c r="N979" s="78" t="n"/>
    </row>
    <row r="980">
      <c r="K980" s="93" t="n"/>
      <c r="L980" s="78" t="n"/>
      <c r="M980" s="78" t="n"/>
      <c r="N980" s="78" t="n"/>
    </row>
    <row r="981">
      <c r="K981" s="93" t="n"/>
      <c r="L981" s="78" t="n"/>
      <c r="M981" s="78" t="n"/>
      <c r="N981" s="78" t="n"/>
    </row>
    <row r="982">
      <c r="K982" s="93" t="n"/>
      <c r="L982" s="78" t="n"/>
      <c r="M982" s="78" t="n"/>
      <c r="N982" s="78" t="n"/>
    </row>
    <row r="983">
      <c r="K983" s="93" t="n"/>
      <c r="L983" s="78" t="n"/>
      <c r="M983" s="78" t="n"/>
      <c r="N983" s="78" t="n"/>
    </row>
    <row r="984">
      <c r="K984" s="93" t="n"/>
      <c r="L984" s="78" t="n"/>
      <c r="M984" s="78" t="n"/>
      <c r="N984" s="78" t="n"/>
    </row>
    <row r="985">
      <c r="K985" s="93" t="n"/>
      <c r="L985" s="78" t="n"/>
      <c r="M985" s="78" t="n"/>
      <c r="N985" s="78" t="n"/>
    </row>
    <row r="986">
      <c r="K986" s="93" t="n"/>
      <c r="L986" s="78" t="n"/>
      <c r="M986" s="78" t="n"/>
      <c r="N986" s="78" t="n"/>
    </row>
    <row r="987">
      <c r="K987" s="93" t="n"/>
      <c r="L987" s="78" t="n"/>
      <c r="M987" s="78" t="n"/>
      <c r="N987" s="78" t="n"/>
    </row>
    <row r="988">
      <c r="K988" s="93" t="n"/>
      <c r="L988" s="78" t="n"/>
      <c r="M988" s="78" t="n"/>
      <c r="N988" s="78" t="n"/>
    </row>
    <row r="989">
      <c r="K989" s="93" t="n"/>
      <c r="L989" s="78" t="n"/>
      <c r="M989" s="78" t="n"/>
      <c r="N989" s="78" t="n"/>
    </row>
    <row r="990">
      <c r="K990" s="93" t="n"/>
      <c r="L990" s="78" t="n"/>
      <c r="M990" s="78" t="n"/>
      <c r="N990" s="78" t="n"/>
    </row>
    <row r="991">
      <c r="K991" s="93" t="n"/>
      <c r="L991" s="78" t="n"/>
      <c r="M991" s="78" t="n"/>
      <c r="N991" s="78" t="n"/>
    </row>
    <row r="992">
      <c r="K992" s="93" t="n"/>
      <c r="L992" s="78" t="n"/>
      <c r="M992" s="78" t="n"/>
      <c r="N992" s="78" t="n"/>
    </row>
    <row r="993">
      <c r="K993" s="93" t="n"/>
      <c r="L993" s="78" t="n"/>
      <c r="M993" s="78" t="n"/>
      <c r="N993" s="78" t="n"/>
    </row>
    <row r="994">
      <c r="K994" s="93" t="n"/>
      <c r="L994" s="78" t="n"/>
      <c r="M994" s="78" t="n"/>
      <c r="N994" s="78" t="n"/>
    </row>
    <row r="995">
      <c r="K995" s="93" t="n"/>
      <c r="L995" s="78" t="n"/>
      <c r="M995" s="78" t="n"/>
      <c r="N995" s="78" t="n"/>
    </row>
    <row r="996">
      <c r="K996" s="93" t="n"/>
      <c r="L996" s="78" t="n"/>
      <c r="M996" s="78" t="n"/>
      <c r="N996" s="78" t="n"/>
    </row>
    <row r="997">
      <c r="K997" s="93" t="n"/>
      <c r="L997" s="78" t="n"/>
      <c r="M997" s="78" t="n"/>
      <c r="N997" s="78" t="n"/>
    </row>
    <row r="998">
      <c r="K998" s="93" t="n"/>
      <c r="L998" s="78" t="n"/>
      <c r="M998" s="78" t="n"/>
      <c r="N998" s="78" t="n"/>
    </row>
    <row r="999">
      <c r="K999" s="93" t="n"/>
      <c r="L999" s="78" t="n"/>
      <c r="M999" s="78" t="n"/>
      <c r="N999" s="78" t="n"/>
    </row>
    <row r="1000">
      <c r="K1000" s="93" t="n"/>
      <c r="L1000" s="78" t="n"/>
      <c r="M1000" s="78" t="n"/>
      <c r="N1000" s="78" t="n"/>
    </row>
    <row r="1001">
      <c r="K1001" s="93" t="n"/>
      <c r="L1001" s="78" t="n"/>
      <c r="M1001" s="78" t="n"/>
      <c r="N1001" s="78" t="n"/>
    </row>
  </sheetData>
  <dataValidations count="2">
    <dataValidation sqref="L2:L1001" showDropDown="0" showInputMessage="0" showErrorMessage="0" allowBlank="0" type="list">
      <formula1>legenda!$B$2:$B$6</formula1>
    </dataValidation>
    <dataValidation sqref="M2:M1001" showDropDown="0" showInputMessage="0" showErrorMessage="0" allowBlank="0" type="list">
      <formula1>legenda!$F$2:$F$12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001"/>
  <sheetViews>
    <sheetView workbookViewId="0">
      <selection activeCell="A1" sqref="A1"/>
    </sheetView>
  </sheetViews>
  <sheetFormatPr baseColWidth="8" defaultRowHeight="15"/>
  <cols>
    <col width="8" customWidth="1" style="72" min="1" max="1"/>
    <col width="28" customWidth="1" style="72" min="2" max="2"/>
    <col width="14" customWidth="1" style="72" min="3" max="3"/>
    <col width="28" customWidth="1" style="72" min="4" max="4"/>
    <col width="18" customWidth="1" style="72" min="5" max="5"/>
    <col width="12" customWidth="1" style="72" min="6" max="6"/>
    <col width="14" customWidth="1" style="72" min="7" max="7"/>
    <col width="16" customWidth="1" style="72" min="8" max="8"/>
    <col width="18" customWidth="1" style="72" min="9" max="9"/>
    <col width="14" customWidth="1" style="72" min="10" max="10"/>
    <col width="14" customWidth="1" style="72" min="11" max="11"/>
    <col width="15" customWidth="1" style="72" min="12" max="12"/>
    <col width="18" customWidth="1" style="72" min="13" max="13"/>
    <col width="24" customWidth="1" style="72" min="14" max="14"/>
    <col width="26" customWidth="1" style="72" min="15" max="15"/>
    <col width="14" customWidth="1" style="72" min="17" max="17"/>
    <col width="40" customWidth="1" style="72" min="18" max="18"/>
  </cols>
  <sheetData>
    <row r="1" ht="22" customHeight="1" s="72">
      <c r="A1" s="12" t="inlineStr">
        <is>
          <t>ID</t>
        </is>
      </c>
      <c r="B1" s="13" t="inlineStr">
        <is>
          <t>Nome do inscrito(a)</t>
        </is>
      </c>
      <c r="C1" s="89" t="inlineStr">
        <is>
          <t>Data de inscrição</t>
        </is>
      </c>
      <c r="D1" s="13" t="inlineStr">
        <is>
          <t>E-mail</t>
        </is>
      </c>
      <c r="E1" s="13" t="inlineStr">
        <is>
          <t>Contato</t>
        </is>
      </c>
      <c r="F1" s="13" t="inlineStr">
        <is>
          <t>Região</t>
        </is>
      </c>
      <c r="G1" s="13" t="inlineStr">
        <is>
          <t>Turma</t>
        </is>
      </c>
      <c r="H1" s="13" t="inlineStr">
        <is>
          <t>Idade</t>
        </is>
      </c>
      <c r="I1" s="13" t="inlineStr">
        <is>
          <t>Renda Familiar</t>
        </is>
      </c>
      <c r="J1" s="13" t="inlineStr">
        <is>
          <t>Equipe Example Organization</t>
        </is>
      </c>
      <c r="K1" s="91" t="inlineStr">
        <is>
          <t>Agendamento</t>
        </is>
      </c>
      <c r="L1" s="80" t="inlineStr">
        <is>
          <t>Status</t>
        </is>
      </c>
      <c r="M1" s="80" t="inlineStr">
        <is>
          <t>Motivo</t>
        </is>
      </c>
      <c r="N1" s="80" t="inlineStr">
        <is>
          <t>Comentários</t>
        </is>
      </c>
      <c r="O1" s="14" t="inlineStr">
        <is>
          <t>Pendências</t>
        </is>
      </c>
      <c r="Q1" s="26" t="inlineStr">
        <is>
          <t>Equipe</t>
        </is>
      </c>
      <c r="R1" s="27" t="inlineStr">
        <is>
          <t>Observação</t>
        </is>
      </c>
    </row>
    <row r="2">
      <c r="A2" s="17">
        <f>IFERROR(FILTER(Candidatos!A2:J1001,Candidatos!J2:J1001="Team B"),"")</f>
        <v/>
      </c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92" t="n"/>
      <c r="L2" s="76" t="n"/>
      <c r="M2" s="76" t="n"/>
      <c r="N2" s="76" t="n"/>
      <c r="O2" s="17">
        <f t="array" ref="O2:O1001">BYROW(HSTACK(B2:B1001,J2:L1001),LAMBDA(r,IF(INDEX(r,1,1)="","",TEXTJOIN(" | ",TRUE,IF(INDEX(r,1,2)="","Sem equipe",""),IF(INDEX(r,1,3)="","Sem agendamento",""),IF(INDEX(r,1,4)="","Sem status","")))))</f>
        <v/>
      </c>
      <c r="Q2" s="17" t="inlineStr">
        <is>
          <t>Team B</t>
        </is>
      </c>
      <c r="R2" s="17" t="inlineStr">
        <is>
          <t>Dados cadastrais automáticos. Edite Agendamento, Status, Motivo e Comentários nas colunas K:N.</t>
        </is>
      </c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92" t="n"/>
      <c r="L3" s="76" t="n"/>
      <c r="M3" s="76" t="n"/>
      <c r="N3" s="76" t="n"/>
      <c r="O3" s="17" t="str"/>
      <c r="Q3" s="17" t="inlineStr">
        <is>
          <t>Total</t>
        </is>
      </c>
      <c r="R3" s="17">
        <f>COUNTIFS(Candidatos!B2:B1001,"?*",Candidatos!J2:J1001,"Team B")</f>
        <v/>
      </c>
    </row>
    <row r="4">
      <c r="A4" s="17" t="n"/>
      <c r="B4" s="17" t="n"/>
      <c r="C4" s="17" t="n"/>
      <c r="D4" s="17" t="n"/>
      <c r="E4" s="17" t="n"/>
      <c r="F4" s="17" t="n"/>
      <c r="G4" s="17" t="n"/>
      <c r="H4" s="17" t="n"/>
      <c r="I4" s="17" t="n"/>
      <c r="J4" s="17" t="n"/>
      <c r="K4" s="92" t="n"/>
      <c r="L4" s="76" t="n"/>
      <c r="M4" s="76" t="n"/>
      <c r="N4" s="76" t="n"/>
      <c r="O4" s="17" t="str"/>
    </row>
    <row r="5">
      <c r="A5" s="17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92" t="n"/>
      <c r="L5" s="76" t="n"/>
      <c r="M5" s="76" t="n"/>
      <c r="N5" s="76" t="n"/>
      <c r="O5" s="17" t="str"/>
    </row>
    <row r="6">
      <c r="A6" s="17" t="n"/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92" t="n"/>
      <c r="L6" s="76" t="n"/>
      <c r="M6" s="76" t="n"/>
      <c r="N6" s="76" t="n"/>
      <c r="O6" s="17" t="str"/>
    </row>
    <row r="7">
      <c r="A7" s="17" t="n"/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92" t="n"/>
      <c r="L7" s="76" t="n"/>
      <c r="M7" s="76" t="n"/>
      <c r="N7" s="76" t="n"/>
      <c r="O7" s="17" t="str"/>
    </row>
    <row r="8">
      <c r="A8" s="17" t="n"/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92" t="n"/>
      <c r="L8" s="76" t="n"/>
      <c r="M8" s="76" t="n"/>
      <c r="N8" s="76" t="n"/>
      <c r="O8" s="17" t="str"/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92" t="n"/>
      <c r="L9" s="76" t="n"/>
      <c r="M9" s="76" t="n"/>
      <c r="N9" s="76" t="n"/>
      <c r="O9" s="17" t="str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92" t="n"/>
      <c r="L10" s="76" t="n"/>
      <c r="M10" s="76" t="n"/>
      <c r="N10" s="76" t="n"/>
      <c r="O10" s="17" t="str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92" t="n"/>
      <c r="L11" s="76" t="n"/>
      <c r="M11" s="76" t="n"/>
      <c r="N11" s="76" t="n"/>
      <c r="O11" s="17" t="str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92" t="n"/>
      <c r="L12" s="76" t="n"/>
      <c r="M12" s="76" t="n"/>
      <c r="N12" s="76" t="n"/>
      <c r="O12" s="17" t="str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92" t="n"/>
      <c r="L13" s="76" t="n"/>
      <c r="M13" s="76" t="n"/>
      <c r="N13" s="76" t="n"/>
      <c r="O13" s="17" t="str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92" t="n"/>
      <c r="L14" s="76" t="n"/>
      <c r="M14" s="76" t="n"/>
      <c r="N14" s="76" t="n"/>
      <c r="O14" s="17" t="str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92" t="n"/>
      <c r="L15" s="76" t="n"/>
      <c r="M15" s="76" t="n"/>
      <c r="N15" s="76" t="n"/>
      <c r="O15" s="17" t="str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92" t="n"/>
      <c r="L16" s="76" t="n"/>
      <c r="M16" s="76" t="n"/>
      <c r="N16" s="76" t="n"/>
      <c r="O16" s="17" t="str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92" t="n"/>
      <c r="L17" s="76" t="n"/>
      <c r="M17" s="76" t="n"/>
      <c r="N17" s="76" t="n"/>
      <c r="O17" s="17" t="str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92" t="n"/>
      <c r="L18" s="76" t="n"/>
      <c r="M18" s="76" t="n"/>
      <c r="N18" s="76" t="n"/>
      <c r="O18" s="17" t="str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92" t="n"/>
      <c r="L19" s="76" t="n"/>
      <c r="M19" s="76" t="n"/>
      <c r="N19" s="76" t="n"/>
      <c r="O19" s="17" t="str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92" t="n"/>
      <c r="L20" s="76" t="n"/>
      <c r="M20" s="76" t="n"/>
      <c r="N20" s="76" t="n"/>
      <c r="O20" s="17" t="str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92" t="n"/>
      <c r="L21" s="76" t="n"/>
      <c r="M21" s="76" t="n"/>
      <c r="N21" s="76" t="n"/>
      <c r="O21" s="17" t="str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92" t="n"/>
      <c r="L22" s="76" t="n"/>
      <c r="M22" s="76" t="n"/>
      <c r="N22" s="76" t="n"/>
      <c r="O22" s="17" t="str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92" t="n"/>
      <c r="L23" s="76" t="n"/>
      <c r="M23" s="76" t="n"/>
      <c r="N23" s="76" t="n"/>
      <c r="O23" s="17" t="str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92" t="n"/>
      <c r="L24" s="76" t="n"/>
      <c r="M24" s="76" t="n"/>
      <c r="N24" s="76" t="n"/>
      <c r="O24" s="17" t="str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92" t="n"/>
      <c r="L25" s="76" t="n"/>
      <c r="M25" s="76" t="n"/>
      <c r="N25" s="76" t="n"/>
      <c r="O25" s="17" t="str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92" t="n"/>
      <c r="L26" s="76" t="n"/>
      <c r="M26" s="76" t="n"/>
      <c r="N26" s="76" t="n"/>
      <c r="O26" s="17" t="str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92" t="n"/>
      <c r="L27" s="76" t="n"/>
      <c r="M27" s="76" t="n"/>
      <c r="N27" s="76" t="n"/>
      <c r="O27" s="17" t="str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92" t="n"/>
      <c r="L28" s="76" t="n"/>
      <c r="M28" s="76" t="n"/>
      <c r="N28" s="76" t="n"/>
      <c r="O28" s="17" t="str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92" t="n"/>
      <c r="L29" s="76" t="n"/>
      <c r="M29" s="76" t="n"/>
      <c r="N29" s="76" t="n"/>
      <c r="O29" s="17" t="str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92" t="n"/>
      <c r="L30" s="76" t="n"/>
      <c r="M30" s="76" t="n"/>
      <c r="N30" s="76" t="n"/>
      <c r="O30" s="17" t="str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92" t="n"/>
      <c r="L31" s="76" t="n"/>
      <c r="M31" s="76" t="n"/>
      <c r="N31" s="76" t="n"/>
      <c r="O31" s="17" t="str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92" t="n"/>
      <c r="L32" s="76" t="n"/>
      <c r="M32" s="76" t="n"/>
      <c r="N32" s="76" t="n"/>
      <c r="O32" s="17" t="str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92" t="n"/>
      <c r="L33" s="76" t="n"/>
      <c r="M33" s="76" t="n"/>
      <c r="N33" s="76" t="n"/>
      <c r="O33" s="17" t="str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92" t="n"/>
      <c r="L34" s="76" t="n"/>
      <c r="M34" s="76" t="n"/>
      <c r="N34" s="76" t="n"/>
      <c r="O34" s="17" t="str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92" t="n"/>
      <c r="L35" s="76" t="n"/>
      <c r="M35" s="76" t="n"/>
      <c r="N35" s="76" t="n"/>
      <c r="O35" s="17" t="str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92" t="n"/>
      <c r="L36" s="76" t="n"/>
      <c r="M36" s="76" t="n"/>
      <c r="N36" s="76" t="n"/>
      <c r="O36" s="17" t="str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92" t="n"/>
      <c r="L37" s="76" t="n"/>
      <c r="M37" s="76" t="n"/>
      <c r="N37" s="76" t="n"/>
      <c r="O37" s="17" t="str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92" t="n"/>
      <c r="L38" s="76" t="n"/>
      <c r="M38" s="76" t="n"/>
      <c r="N38" s="76" t="n"/>
      <c r="O38" s="17" t="str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92" t="n"/>
      <c r="L39" s="76" t="n"/>
      <c r="M39" s="76" t="n"/>
      <c r="N39" s="76" t="n"/>
      <c r="O39" s="17" t="str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92" t="n"/>
      <c r="L40" s="76" t="n"/>
      <c r="M40" s="76" t="n"/>
      <c r="N40" s="76" t="n"/>
      <c r="O40" s="17" t="str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92" t="n"/>
      <c r="L41" s="76" t="n"/>
      <c r="M41" s="76" t="n"/>
      <c r="N41" s="76" t="n"/>
      <c r="O41" s="17" t="str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92" t="n"/>
      <c r="L42" s="76" t="n"/>
      <c r="M42" s="76" t="n"/>
      <c r="N42" s="76" t="n"/>
      <c r="O42" s="17" t="str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92" t="n"/>
      <c r="L43" s="76" t="n"/>
      <c r="M43" s="76" t="n"/>
      <c r="N43" s="76" t="n"/>
      <c r="O43" s="17" t="str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92" t="n"/>
      <c r="L44" s="76" t="n"/>
      <c r="M44" s="76" t="n"/>
      <c r="N44" s="76" t="n"/>
      <c r="O44" s="17" t="str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92" t="n"/>
      <c r="L45" s="76" t="n"/>
      <c r="M45" s="76" t="n"/>
      <c r="N45" s="76" t="n"/>
      <c r="O45" s="17" t="str"/>
    </row>
    <row r="46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92" t="n"/>
      <c r="L46" s="76" t="n"/>
      <c r="M46" s="76" t="n"/>
      <c r="N46" s="76" t="n"/>
      <c r="O46" s="17" t="str"/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92" t="n"/>
      <c r="L47" s="76" t="n"/>
      <c r="M47" s="76" t="n"/>
      <c r="N47" s="76" t="n"/>
      <c r="O47" s="17" t="str"/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92" t="n"/>
      <c r="L48" s="76" t="n"/>
      <c r="M48" s="76" t="n"/>
      <c r="N48" s="76" t="n"/>
      <c r="O48" s="17" t="str"/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92" t="n"/>
      <c r="L49" s="76" t="n"/>
      <c r="M49" s="76" t="n"/>
      <c r="N49" s="76" t="n"/>
      <c r="O49" s="17" t="str"/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92" t="n"/>
      <c r="L50" s="76" t="n"/>
      <c r="M50" s="76" t="n"/>
      <c r="N50" s="76" t="n"/>
      <c r="O50" s="17" t="str"/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92" t="n"/>
      <c r="L51" s="76" t="n"/>
      <c r="M51" s="76" t="n"/>
      <c r="N51" s="76" t="n"/>
      <c r="O51" s="17" t="str"/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92" t="n"/>
      <c r="L52" s="76" t="n"/>
      <c r="M52" s="76" t="n"/>
      <c r="N52" s="76" t="n"/>
      <c r="O52" s="17" t="str"/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92" t="n"/>
      <c r="L53" s="76" t="n"/>
      <c r="M53" s="76" t="n"/>
      <c r="N53" s="76" t="n"/>
      <c r="O53" s="17" t="str"/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92" t="n"/>
      <c r="L54" s="76" t="n"/>
      <c r="M54" s="76" t="n"/>
      <c r="N54" s="76" t="n"/>
      <c r="O54" s="17" t="str"/>
    </row>
    <row r="55">
      <c r="A55" s="17" t="n"/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92" t="n"/>
      <c r="L55" s="76" t="n"/>
      <c r="M55" s="76" t="n"/>
      <c r="N55" s="76" t="n"/>
      <c r="O55" s="17" t="str"/>
    </row>
    <row r="56">
      <c r="A56" s="17" t="n"/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92" t="n"/>
      <c r="L56" s="76" t="n"/>
      <c r="M56" s="76" t="n"/>
      <c r="N56" s="76" t="n"/>
      <c r="O56" s="17" t="str"/>
    </row>
    <row r="57">
      <c r="A57" s="17" t="n"/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92" t="n"/>
      <c r="L57" s="76" t="n"/>
      <c r="M57" s="76" t="n"/>
      <c r="N57" s="76" t="n"/>
      <c r="O57" s="17" t="str"/>
    </row>
    <row r="58">
      <c r="A58" s="17" t="n"/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92" t="n"/>
      <c r="L58" s="76" t="n"/>
      <c r="M58" s="76" t="n"/>
      <c r="N58" s="76" t="n"/>
      <c r="O58" s="17" t="str"/>
    </row>
    <row r="59">
      <c r="A59" s="17" t="n"/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92" t="n"/>
      <c r="L59" s="76" t="n"/>
      <c r="M59" s="76" t="n"/>
      <c r="N59" s="76" t="n"/>
      <c r="O59" s="17" t="str"/>
    </row>
    <row r="60">
      <c r="A60" s="17" t="n"/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92" t="n"/>
      <c r="L60" s="76" t="n"/>
      <c r="M60" s="76" t="n"/>
      <c r="N60" s="76" t="n"/>
      <c r="O60" s="17" t="str"/>
    </row>
    <row r="61">
      <c r="A61" s="17" t="n"/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92" t="n"/>
      <c r="L61" s="76" t="n"/>
      <c r="M61" s="76" t="n"/>
      <c r="N61" s="76" t="n"/>
      <c r="O61" s="17" t="str"/>
    </row>
    <row r="62">
      <c r="A62" s="17" t="n"/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92" t="n"/>
      <c r="L62" s="76" t="n"/>
      <c r="M62" s="76" t="n"/>
      <c r="N62" s="76" t="n"/>
      <c r="O62" s="17" t="str"/>
    </row>
    <row r="63">
      <c r="A63" s="17" t="n"/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92" t="n"/>
      <c r="L63" s="76" t="n"/>
      <c r="M63" s="76" t="n"/>
      <c r="N63" s="76" t="n"/>
      <c r="O63" s="17" t="str"/>
    </row>
    <row r="64">
      <c r="A64" s="17" t="n"/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92" t="n"/>
      <c r="L64" s="76" t="n"/>
      <c r="M64" s="76" t="n"/>
      <c r="N64" s="76" t="n"/>
      <c r="O64" s="17" t="str"/>
    </row>
    <row r="65">
      <c r="A65" s="17" t="n"/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92" t="n"/>
      <c r="L65" s="76" t="n"/>
      <c r="M65" s="76" t="n"/>
      <c r="N65" s="76" t="n"/>
      <c r="O65" s="17" t="str"/>
    </row>
    <row r="66">
      <c r="A66" s="17" t="n"/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92" t="n"/>
      <c r="L66" s="76" t="n"/>
      <c r="M66" s="76" t="n"/>
      <c r="N66" s="76" t="n"/>
      <c r="O66" s="17" t="str"/>
    </row>
    <row r="67">
      <c r="A67" s="17" t="n"/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92" t="n"/>
      <c r="L67" s="76" t="n"/>
      <c r="M67" s="76" t="n"/>
      <c r="N67" s="76" t="n"/>
      <c r="O67" s="17" t="str"/>
    </row>
    <row r="68">
      <c r="A68" s="17" t="n"/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92" t="n"/>
      <c r="L68" s="76" t="n"/>
      <c r="M68" s="76" t="n"/>
      <c r="N68" s="76" t="n"/>
      <c r="O68" s="17" t="str"/>
    </row>
    <row r="69">
      <c r="A69" s="17" t="n"/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92" t="n"/>
      <c r="L69" s="76" t="n"/>
      <c r="M69" s="76" t="n"/>
      <c r="N69" s="76" t="n"/>
      <c r="O69" s="17" t="str"/>
    </row>
    <row r="70">
      <c r="A70" s="17" t="n"/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92" t="n"/>
      <c r="L70" s="76" t="n"/>
      <c r="M70" s="76" t="n"/>
      <c r="N70" s="76" t="n"/>
      <c r="O70" s="17" t="str"/>
    </row>
    <row r="71">
      <c r="A71" s="17" t="n"/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92" t="n"/>
      <c r="L71" s="76" t="n"/>
      <c r="M71" s="76" t="n"/>
      <c r="N71" s="76" t="n"/>
      <c r="O71" s="17" t="str"/>
    </row>
    <row r="72">
      <c r="A72" s="17" t="n"/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92" t="n"/>
      <c r="L72" s="76" t="n"/>
      <c r="M72" s="76" t="n"/>
      <c r="N72" s="76" t="n"/>
      <c r="O72" s="17" t="str"/>
    </row>
    <row r="73">
      <c r="A73" s="17" t="n"/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92" t="n"/>
      <c r="L73" s="76" t="n"/>
      <c r="M73" s="76" t="n"/>
      <c r="N73" s="76" t="n"/>
      <c r="O73" s="17" t="str"/>
    </row>
    <row r="74">
      <c r="A74" s="17" t="n"/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92" t="n"/>
      <c r="L74" s="76" t="n"/>
      <c r="M74" s="76" t="n"/>
      <c r="N74" s="76" t="n"/>
      <c r="O74" s="17" t="str"/>
    </row>
    <row r="75">
      <c r="A75" s="17" t="n"/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92" t="n"/>
      <c r="L75" s="76" t="n"/>
      <c r="M75" s="76" t="n"/>
      <c r="N75" s="76" t="n"/>
      <c r="O75" s="17" t="str"/>
    </row>
    <row r="76">
      <c r="A76" s="17" t="n"/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92" t="n"/>
      <c r="L76" s="76" t="n"/>
      <c r="M76" s="76" t="n"/>
      <c r="N76" s="76" t="n"/>
      <c r="O76" s="17" t="str"/>
    </row>
    <row r="77">
      <c r="A77" s="17" t="n"/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92" t="n"/>
      <c r="L77" s="76" t="n"/>
      <c r="M77" s="76" t="n"/>
      <c r="N77" s="76" t="n"/>
      <c r="O77" s="17" t="str"/>
    </row>
    <row r="78">
      <c r="A78" s="17" t="n"/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92" t="n"/>
      <c r="L78" s="76" t="n"/>
      <c r="M78" s="76" t="n"/>
      <c r="N78" s="76" t="n"/>
      <c r="O78" s="17" t="str"/>
    </row>
    <row r="79">
      <c r="A79" s="17" t="n"/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92" t="n"/>
      <c r="L79" s="76" t="n"/>
      <c r="M79" s="76" t="n"/>
      <c r="N79" s="76" t="n"/>
      <c r="O79" s="17" t="str"/>
    </row>
    <row r="80">
      <c r="A80" s="17" t="n"/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92" t="n"/>
      <c r="L80" s="76" t="n"/>
      <c r="M80" s="76" t="n"/>
      <c r="N80" s="76" t="n"/>
      <c r="O80" s="17" t="str"/>
    </row>
    <row r="81">
      <c r="A81" s="17" t="n"/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92" t="n"/>
      <c r="L81" s="76" t="n"/>
      <c r="M81" s="76" t="n"/>
      <c r="N81" s="76" t="n"/>
      <c r="O81" s="17" t="str"/>
    </row>
    <row r="82">
      <c r="A82" s="17" t="n"/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92" t="n"/>
      <c r="L82" s="76" t="n"/>
      <c r="M82" s="76" t="n"/>
      <c r="N82" s="76" t="n"/>
      <c r="O82" s="17" t="str"/>
    </row>
    <row r="83">
      <c r="A83" s="17" t="n"/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92" t="n"/>
      <c r="L83" s="76" t="n"/>
      <c r="M83" s="76" t="n"/>
      <c r="N83" s="76" t="n"/>
      <c r="O83" s="17" t="str"/>
    </row>
    <row r="84">
      <c r="A84" s="17" t="n"/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92" t="n"/>
      <c r="L84" s="76" t="n"/>
      <c r="M84" s="76" t="n"/>
      <c r="N84" s="76" t="n"/>
      <c r="O84" s="17" t="str"/>
    </row>
    <row r="85">
      <c r="A85" s="17" t="n"/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92" t="n"/>
      <c r="L85" s="76" t="n"/>
      <c r="M85" s="76" t="n"/>
      <c r="N85" s="76" t="n"/>
      <c r="O85" s="17" t="str"/>
    </row>
    <row r="86">
      <c r="A86" s="17" t="n"/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92" t="n"/>
      <c r="L86" s="76" t="n"/>
      <c r="M86" s="76" t="n"/>
      <c r="N86" s="76" t="n"/>
      <c r="O86" s="17" t="str"/>
    </row>
    <row r="87">
      <c r="A87" s="17" t="n"/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92" t="n"/>
      <c r="L87" s="76" t="n"/>
      <c r="M87" s="76" t="n"/>
      <c r="N87" s="76" t="n"/>
      <c r="O87" s="17" t="str"/>
    </row>
    <row r="88">
      <c r="A88" s="17" t="n"/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92" t="n"/>
      <c r="L88" s="76" t="n"/>
      <c r="M88" s="76" t="n"/>
      <c r="N88" s="76" t="n"/>
      <c r="O88" s="17" t="str"/>
    </row>
    <row r="89">
      <c r="A89" s="17" t="n"/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92" t="n"/>
      <c r="L89" s="76" t="n"/>
      <c r="M89" s="76" t="n"/>
      <c r="N89" s="76" t="n"/>
      <c r="O89" s="17" t="str"/>
    </row>
    <row r="90">
      <c r="A90" s="17" t="n"/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92" t="n"/>
      <c r="L90" s="76" t="n"/>
      <c r="M90" s="76" t="n"/>
      <c r="N90" s="76" t="n"/>
      <c r="O90" s="17" t="str"/>
    </row>
    <row r="91">
      <c r="A91" s="17" t="n"/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92" t="n"/>
      <c r="L91" s="76" t="n"/>
      <c r="M91" s="76" t="n"/>
      <c r="N91" s="76" t="n"/>
      <c r="O91" s="17" t="str"/>
    </row>
    <row r="92">
      <c r="A92" s="17" t="n"/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92" t="n"/>
      <c r="L92" s="76" t="n"/>
      <c r="M92" s="76" t="n"/>
      <c r="N92" s="76" t="n"/>
      <c r="O92" s="17" t="str"/>
    </row>
    <row r="93">
      <c r="A93" s="17" t="n"/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92" t="n"/>
      <c r="L93" s="76" t="n"/>
      <c r="M93" s="76" t="n"/>
      <c r="N93" s="76" t="n"/>
      <c r="O93" s="17" t="str"/>
    </row>
    <row r="94">
      <c r="A94" s="17" t="n"/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92" t="n"/>
      <c r="L94" s="76" t="n"/>
      <c r="M94" s="76" t="n"/>
      <c r="N94" s="76" t="n"/>
      <c r="O94" s="17" t="str"/>
    </row>
    <row r="95">
      <c r="A95" s="17" t="n"/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92" t="n"/>
      <c r="L95" s="76" t="n"/>
      <c r="M95" s="76" t="n"/>
      <c r="N95" s="76" t="n"/>
      <c r="O95" s="17" t="str"/>
    </row>
    <row r="96">
      <c r="A96" s="17" t="n"/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92" t="n"/>
      <c r="L96" s="76" t="n"/>
      <c r="M96" s="76" t="n"/>
      <c r="N96" s="76" t="n"/>
      <c r="O96" s="17" t="str"/>
    </row>
    <row r="97">
      <c r="A97" s="17" t="n"/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92" t="n"/>
      <c r="L97" s="76" t="n"/>
      <c r="M97" s="76" t="n"/>
      <c r="N97" s="76" t="n"/>
      <c r="O97" s="17" t="str"/>
    </row>
    <row r="98">
      <c r="A98" s="17" t="n"/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92" t="n"/>
      <c r="L98" s="76" t="n"/>
      <c r="M98" s="76" t="n"/>
      <c r="N98" s="76" t="n"/>
      <c r="O98" s="17" t="str"/>
    </row>
    <row r="99">
      <c r="A99" s="17" t="n"/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92" t="n"/>
      <c r="L99" s="76" t="n"/>
      <c r="M99" s="76" t="n"/>
      <c r="N99" s="76" t="n"/>
      <c r="O99" s="17" t="str"/>
    </row>
    <row r="100">
      <c r="A100" s="17" t="n"/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92" t="n"/>
      <c r="L100" s="76" t="n"/>
      <c r="M100" s="76" t="n"/>
      <c r="N100" s="76" t="n"/>
      <c r="O100" s="17" t="str"/>
    </row>
    <row r="101">
      <c r="A101" s="17" t="n"/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92" t="n"/>
      <c r="L101" s="76" t="n"/>
      <c r="M101" s="76" t="n"/>
      <c r="N101" s="76" t="n"/>
      <c r="O101" s="17" t="str"/>
    </row>
    <row r="102">
      <c r="A102" s="17" t="n"/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92" t="n"/>
      <c r="L102" s="76" t="n"/>
      <c r="M102" s="76" t="n"/>
      <c r="N102" s="76" t="n"/>
      <c r="O102" s="17" t="str"/>
    </row>
    <row r="103">
      <c r="A103" s="17" t="n"/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92" t="n"/>
      <c r="L103" s="76" t="n"/>
      <c r="M103" s="76" t="n"/>
      <c r="N103" s="76" t="n"/>
      <c r="O103" s="17" t="str"/>
    </row>
    <row r="104">
      <c r="A104" s="17" t="n"/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92" t="n"/>
      <c r="L104" s="76" t="n"/>
      <c r="M104" s="76" t="n"/>
      <c r="N104" s="76" t="n"/>
      <c r="O104" s="17" t="str"/>
    </row>
    <row r="105">
      <c r="A105" s="17" t="n"/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92" t="n"/>
      <c r="L105" s="76" t="n"/>
      <c r="M105" s="76" t="n"/>
      <c r="N105" s="76" t="n"/>
      <c r="O105" s="17" t="str"/>
    </row>
    <row r="106">
      <c r="A106" s="17" t="n"/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92" t="n"/>
      <c r="L106" s="76" t="n"/>
      <c r="M106" s="76" t="n"/>
      <c r="N106" s="76" t="n"/>
      <c r="O106" s="17" t="str"/>
    </row>
    <row r="107">
      <c r="A107" s="17" t="n"/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92" t="n"/>
      <c r="L107" s="76" t="n"/>
      <c r="M107" s="76" t="n"/>
      <c r="N107" s="76" t="n"/>
      <c r="O107" s="17" t="str"/>
    </row>
    <row r="108">
      <c r="A108" s="17" t="n"/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92" t="n"/>
      <c r="L108" s="76" t="n"/>
      <c r="M108" s="76" t="n"/>
      <c r="N108" s="76" t="n"/>
      <c r="O108" s="17" t="str"/>
    </row>
    <row r="109">
      <c r="A109" s="17" t="n"/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92" t="n"/>
      <c r="L109" s="76" t="n"/>
      <c r="M109" s="76" t="n"/>
      <c r="N109" s="76" t="n"/>
      <c r="O109" s="17" t="str"/>
    </row>
    <row r="110">
      <c r="A110" s="17" t="n"/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92" t="n"/>
      <c r="L110" s="76" t="n"/>
      <c r="M110" s="76" t="n"/>
      <c r="N110" s="76" t="n"/>
      <c r="O110" s="17" t="str"/>
    </row>
    <row r="111">
      <c r="A111" s="17" t="n"/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92" t="n"/>
      <c r="L111" s="76" t="n"/>
      <c r="M111" s="76" t="n"/>
      <c r="N111" s="76" t="n"/>
      <c r="O111" s="17" t="str"/>
    </row>
    <row r="112">
      <c r="A112" s="17" t="n"/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92" t="n"/>
      <c r="L112" s="76" t="n"/>
      <c r="M112" s="76" t="n"/>
      <c r="N112" s="76" t="n"/>
      <c r="O112" s="17" t="str"/>
    </row>
    <row r="113">
      <c r="A113" s="17" t="n"/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92" t="n"/>
      <c r="L113" s="76" t="n"/>
      <c r="M113" s="76" t="n"/>
      <c r="N113" s="76" t="n"/>
      <c r="O113" s="17" t="str"/>
    </row>
    <row r="114">
      <c r="A114" s="17" t="n"/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92" t="n"/>
      <c r="L114" s="76" t="n"/>
      <c r="M114" s="76" t="n"/>
      <c r="N114" s="76" t="n"/>
      <c r="O114" s="17" t="str"/>
    </row>
    <row r="115">
      <c r="A115" s="17" t="n"/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92" t="n"/>
      <c r="L115" s="76" t="n"/>
      <c r="M115" s="76" t="n"/>
      <c r="N115" s="76" t="n"/>
      <c r="O115" s="17" t="str"/>
    </row>
    <row r="116">
      <c r="A116" s="17" t="n"/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92" t="n"/>
      <c r="L116" s="76" t="n"/>
      <c r="M116" s="76" t="n"/>
      <c r="N116" s="76" t="n"/>
      <c r="O116" s="17" t="str"/>
    </row>
    <row r="117">
      <c r="A117" s="17" t="n"/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92" t="n"/>
      <c r="L117" s="76" t="n"/>
      <c r="M117" s="76" t="n"/>
      <c r="N117" s="76" t="n"/>
      <c r="O117" s="17" t="str"/>
    </row>
    <row r="118">
      <c r="A118" s="17" t="n"/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92" t="n"/>
      <c r="L118" s="76" t="n"/>
      <c r="M118" s="76" t="n"/>
      <c r="N118" s="76" t="n"/>
      <c r="O118" s="17" t="str"/>
    </row>
    <row r="119">
      <c r="A119" s="17" t="n"/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92" t="n"/>
      <c r="L119" s="76" t="n"/>
      <c r="M119" s="76" t="n"/>
      <c r="N119" s="76" t="n"/>
      <c r="O119" s="17" t="str"/>
    </row>
    <row r="120">
      <c r="A120" s="17" t="n"/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92" t="n"/>
      <c r="L120" s="76" t="n"/>
      <c r="M120" s="76" t="n"/>
      <c r="N120" s="76" t="n"/>
      <c r="O120" s="17" t="str"/>
    </row>
    <row r="121">
      <c r="A121" s="17" t="n"/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92" t="n"/>
      <c r="L121" s="76" t="n"/>
      <c r="M121" s="76" t="n"/>
      <c r="N121" s="76" t="n"/>
      <c r="O121" s="17" t="str"/>
    </row>
    <row r="122">
      <c r="A122" s="17" t="n"/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92" t="n"/>
      <c r="L122" s="76" t="n"/>
      <c r="M122" s="76" t="n"/>
      <c r="N122" s="76" t="n"/>
      <c r="O122" s="17" t="str"/>
    </row>
    <row r="123">
      <c r="A123" s="17" t="n"/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92" t="n"/>
      <c r="L123" s="76" t="n"/>
      <c r="M123" s="76" t="n"/>
      <c r="N123" s="76" t="n"/>
      <c r="O123" s="17" t="str"/>
    </row>
    <row r="124">
      <c r="A124" s="17" t="n"/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92" t="n"/>
      <c r="L124" s="76" t="n"/>
      <c r="M124" s="76" t="n"/>
      <c r="N124" s="76" t="n"/>
      <c r="O124" s="17" t="str"/>
    </row>
    <row r="125">
      <c r="A125" s="17" t="n"/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92" t="n"/>
      <c r="L125" s="76" t="n"/>
      <c r="M125" s="76" t="n"/>
      <c r="N125" s="76" t="n"/>
      <c r="O125" s="17" t="str"/>
    </row>
    <row r="126">
      <c r="A126" s="17" t="n"/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92" t="n"/>
      <c r="L126" s="76" t="n"/>
      <c r="M126" s="76" t="n"/>
      <c r="N126" s="76" t="n"/>
      <c r="O126" s="17" t="str"/>
    </row>
    <row r="127">
      <c r="A127" s="17" t="n"/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92" t="n"/>
      <c r="L127" s="76" t="n"/>
      <c r="M127" s="76" t="n"/>
      <c r="N127" s="76" t="n"/>
      <c r="O127" s="17" t="str"/>
    </row>
    <row r="128">
      <c r="A128" s="17" t="n"/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92" t="n"/>
      <c r="L128" s="76" t="n"/>
      <c r="M128" s="76" t="n"/>
      <c r="N128" s="76" t="n"/>
      <c r="O128" s="17" t="str"/>
    </row>
    <row r="129">
      <c r="A129" s="17" t="n"/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92" t="n"/>
      <c r="L129" s="76" t="n"/>
      <c r="M129" s="76" t="n"/>
      <c r="N129" s="76" t="n"/>
      <c r="O129" s="17" t="str"/>
    </row>
    <row r="130">
      <c r="A130" s="17" t="n"/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92" t="n"/>
      <c r="L130" s="76" t="n"/>
      <c r="M130" s="76" t="n"/>
      <c r="N130" s="76" t="n"/>
      <c r="O130" s="17" t="str"/>
    </row>
    <row r="131">
      <c r="A131" s="17" t="n"/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92" t="n"/>
      <c r="L131" s="76" t="n"/>
      <c r="M131" s="76" t="n"/>
      <c r="N131" s="76" t="n"/>
      <c r="O131" s="17" t="str"/>
    </row>
    <row r="132">
      <c r="A132" s="17" t="n"/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92" t="n"/>
      <c r="L132" s="76" t="n"/>
      <c r="M132" s="76" t="n"/>
      <c r="N132" s="76" t="n"/>
      <c r="O132" s="17" t="str"/>
    </row>
    <row r="133">
      <c r="A133" s="17" t="n"/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92" t="n"/>
      <c r="L133" s="76" t="n"/>
      <c r="M133" s="76" t="n"/>
      <c r="N133" s="76" t="n"/>
      <c r="O133" s="17" t="str"/>
    </row>
    <row r="134">
      <c r="A134" s="17" t="n"/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92" t="n"/>
      <c r="L134" s="76" t="n"/>
      <c r="M134" s="76" t="n"/>
      <c r="N134" s="76" t="n"/>
      <c r="O134" s="17" t="str"/>
    </row>
    <row r="135">
      <c r="A135" s="17" t="n"/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92" t="n"/>
      <c r="L135" s="76" t="n"/>
      <c r="M135" s="76" t="n"/>
      <c r="N135" s="76" t="n"/>
      <c r="O135" s="17" t="str"/>
    </row>
    <row r="136">
      <c r="A136" s="17" t="n"/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92" t="n"/>
      <c r="L136" s="76" t="n"/>
      <c r="M136" s="76" t="n"/>
      <c r="N136" s="76" t="n"/>
      <c r="O136" s="17" t="str"/>
    </row>
    <row r="137">
      <c r="A137" s="17" t="n"/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92" t="n"/>
      <c r="L137" s="76" t="n"/>
      <c r="M137" s="76" t="n"/>
      <c r="N137" s="76" t="n"/>
      <c r="O137" s="17" t="str"/>
    </row>
    <row r="138">
      <c r="A138" s="17" t="n"/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92" t="n"/>
      <c r="L138" s="76" t="n"/>
      <c r="M138" s="76" t="n"/>
      <c r="N138" s="76" t="n"/>
      <c r="O138" s="17" t="str"/>
    </row>
    <row r="139">
      <c r="A139" s="17" t="n"/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92" t="n"/>
      <c r="L139" s="76" t="n"/>
      <c r="M139" s="76" t="n"/>
      <c r="N139" s="76" t="n"/>
      <c r="O139" s="17" t="str"/>
    </row>
    <row r="140">
      <c r="A140" s="17" t="n"/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92" t="n"/>
      <c r="L140" s="76" t="n"/>
      <c r="M140" s="76" t="n"/>
      <c r="N140" s="76" t="n"/>
      <c r="O140" s="17" t="str"/>
    </row>
    <row r="141">
      <c r="A141" s="17" t="n"/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92" t="n"/>
      <c r="L141" s="76" t="n"/>
      <c r="M141" s="76" t="n"/>
      <c r="N141" s="76" t="n"/>
      <c r="O141" s="17" t="str"/>
    </row>
    <row r="142">
      <c r="A142" s="17" t="n"/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92" t="n"/>
      <c r="L142" s="76" t="n"/>
      <c r="M142" s="76" t="n"/>
      <c r="N142" s="76" t="n"/>
      <c r="O142" s="17" t="str"/>
    </row>
    <row r="143">
      <c r="A143" s="17" t="n"/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92" t="n"/>
      <c r="L143" s="76" t="n"/>
      <c r="M143" s="76" t="n"/>
      <c r="N143" s="76" t="n"/>
      <c r="O143" s="17" t="str"/>
    </row>
    <row r="144">
      <c r="A144" s="17" t="n"/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92" t="n"/>
      <c r="L144" s="76" t="n"/>
      <c r="M144" s="76" t="n"/>
      <c r="N144" s="76" t="n"/>
      <c r="O144" s="17" t="str"/>
    </row>
    <row r="145">
      <c r="A145" s="17" t="n"/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92" t="n"/>
      <c r="L145" s="76" t="n"/>
      <c r="M145" s="76" t="n"/>
      <c r="N145" s="76" t="n"/>
      <c r="O145" s="17" t="str"/>
    </row>
    <row r="146">
      <c r="A146" s="17" t="n"/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92" t="n"/>
      <c r="L146" s="76" t="n"/>
      <c r="M146" s="76" t="n"/>
      <c r="N146" s="76" t="n"/>
      <c r="O146" s="17" t="str"/>
    </row>
    <row r="147">
      <c r="A147" s="17" t="n"/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92" t="n"/>
      <c r="L147" s="76" t="n"/>
      <c r="M147" s="76" t="n"/>
      <c r="N147" s="76" t="n"/>
      <c r="O147" s="17" t="str"/>
    </row>
    <row r="148">
      <c r="A148" s="17" t="n"/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92" t="n"/>
      <c r="L148" s="76" t="n"/>
      <c r="M148" s="76" t="n"/>
      <c r="N148" s="76" t="n"/>
      <c r="O148" s="17" t="str"/>
    </row>
    <row r="149">
      <c r="A149" s="17" t="n"/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92" t="n"/>
      <c r="L149" s="76" t="n"/>
      <c r="M149" s="76" t="n"/>
      <c r="N149" s="76" t="n"/>
      <c r="O149" s="17" t="str"/>
    </row>
    <row r="150">
      <c r="A150" s="17" t="n"/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92" t="n"/>
      <c r="L150" s="76" t="n"/>
      <c r="M150" s="76" t="n"/>
      <c r="N150" s="76" t="n"/>
      <c r="O150" s="17" t="str"/>
    </row>
    <row r="151">
      <c r="A151" s="17" t="n"/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92" t="n"/>
      <c r="L151" s="76" t="n"/>
      <c r="M151" s="76" t="n"/>
      <c r="N151" s="76" t="n"/>
      <c r="O151" s="17" t="str"/>
    </row>
    <row r="152">
      <c r="A152" s="17" t="n"/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92" t="n"/>
      <c r="L152" s="76" t="n"/>
      <c r="M152" s="76" t="n"/>
      <c r="N152" s="76" t="n"/>
      <c r="O152" s="17" t="str"/>
    </row>
    <row r="153">
      <c r="A153" s="17" t="n"/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92" t="n"/>
      <c r="L153" s="76" t="n"/>
      <c r="M153" s="76" t="n"/>
      <c r="N153" s="76" t="n"/>
      <c r="O153" s="17" t="str"/>
    </row>
    <row r="154">
      <c r="A154" s="17" t="n"/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92" t="n"/>
      <c r="L154" s="76" t="n"/>
      <c r="M154" s="76" t="n"/>
      <c r="N154" s="76" t="n"/>
      <c r="O154" s="17" t="str"/>
    </row>
    <row r="155">
      <c r="A155" s="17" t="n"/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92" t="n"/>
      <c r="L155" s="76" t="n"/>
      <c r="M155" s="76" t="n"/>
      <c r="N155" s="76" t="n"/>
      <c r="O155" s="17" t="str"/>
    </row>
    <row r="156">
      <c r="A156" s="17" t="n"/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92" t="n"/>
      <c r="L156" s="76" t="n"/>
      <c r="M156" s="76" t="n"/>
      <c r="N156" s="76" t="n"/>
      <c r="O156" s="17" t="str"/>
    </row>
    <row r="157">
      <c r="A157" s="17" t="n"/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92" t="n"/>
      <c r="L157" s="76" t="n"/>
      <c r="M157" s="76" t="n"/>
      <c r="N157" s="76" t="n"/>
      <c r="O157" s="17" t="str"/>
    </row>
    <row r="158">
      <c r="A158" s="17" t="n"/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92" t="n"/>
      <c r="L158" s="76" t="n"/>
      <c r="M158" s="76" t="n"/>
      <c r="N158" s="76" t="n"/>
      <c r="O158" s="17" t="str"/>
    </row>
    <row r="159">
      <c r="A159" s="17" t="n"/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92" t="n"/>
      <c r="L159" s="76" t="n"/>
      <c r="M159" s="76" t="n"/>
      <c r="N159" s="76" t="n"/>
      <c r="O159" s="17" t="str"/>
    </row>
    <row r="160">
      <c r="A160" s="17" t="n"/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92" t="n"/>
      <c r="L160" s="76" t="n"/>
      <c r="M160" s="76" t="n"/>
      <c r="N160" s="76" t="n"/>
      <c r="O160" s="17" t="str"/>
    </row>
    <row r="161">
      <c r="A161" s="17" t="n"/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92" t="n"/>
      <c r="L161" s="76" t="n"/>
      <c r="M161" s="76" t="n"/>
      <c r="N161" s="76" t="n"/>
      <c r="O161" s="17" t="str"/>
    </row>
    <row r="162">
      <c r="A162" s="17" t="n"/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92" t="n"/>
      <c r="L162" s="76" t="n"/>
      <c r="M162" s="76" t="n"/>
      <c r="N162" s="76" t="n"/>
      <c r="O162" s="17" t="str"/>
    </row>
    <row r="163">
      <c r="A163" s="17" t="n"/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92" t="n"/>
      <c r="L163" s="76" t="n"/>
      <c r="M163" s="76" t="n"/>
      <c r="N163" s="76" t="n"/>
      <c r="O163" s="17" t="str"/>
    </row>
    <row r="164">
      <c r="A164" s="17" t="n"/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92" t="n"/>
      <c r="L164" s="76" t="n"/>
      <c r="M164" s="76" t="n"/>
      <c r="N164" s="76" t="n"/>
      <c r="O164" s="17" t="str"/>
    </row>
    <row r="165">
      <c r="A165" s="17" t="n"/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92" t="n"/>
      <c r="L165" s="76" t="n"/>
      <c r="M165" s="76" t="n"/>
      <c r="N165" s="76" t="n"/>
      <c r="O165" s="17" t="str"/>
    </row>
    <row r="166">
      <c r="A166" s="17" t="n"/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92" t="n"/>
      <c r="L166" s="76" t="n"/>
      <c r="M166" s="76" t="n"/>
      <c r="N166" s="76" t="n"/>
      <c r="O166" s="17" t="str"/>
    </row>
    <row r="167">
      <c r="A167" s="17" t="n"/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92" t="n"/>
      <c r="L167" s="76" t="n"/>
      <c r="M167" s="76" t="n"/>
      <c r="N167" s="76" t="n"/>
      <c r="O167" s="17" t="str"/>
    </row>
    <row r="168">
      <c r="A168" s="17" t="n"/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92" t="n"/>
      <c r="L168" s="76" t="n"/>
      <c r="M168" s="76" t="n"/>
      <c r="N168" s="76" t="n"/>
      <c r="O168" s="17" t="str"/>
    </row>
    <row r="169">
      <c r="A169" s="17" t="n"/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92" t="n"/>
      <c r="L169" s="76" t="n"/>
      <c r="M169" s="76" t="n"/>
      <c r="N169" s="76" t="n"/>
      <c r="O169" s="17" t="str"/>
    </row>
    <row r="170">
      <c r="A170" s="17" t="n"/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92" t="n"/>
      <c r="L170" s="76" t="n"/>
      <c r="M170" s="76" t="n"/>
      <c r="N170" s="76" t="n"/>
      <c r="O170" s="17" t="str"/>
    </row>
    <row r="171">
      <c r="A171" s="17" t="n"/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92" t="n"/>
      <c r="L171" s="76" t="n"/>
      <c r="M171" s="76" t="n"/>
      <c r="N171" s="76" t="n"/>
      <c r="O171" s="17" t="str"/>
    </row>
    <row r="172">
      <c r="A172" s="17" t="n"/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92" t="n"/>
      <c r="L172" s="76" t="n"/>
      <c r="M172" s="76" t="n"/>
      <c r="N172" s="76" t="n"/>
      <c r="O172" s="17" t="str"/>
    </row>
    <row r="173">
      <c r="A173" s="17" t="n"/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92" t="n"/>
      <c r="L173" s="76" t="n"/>
      <c r="M173" s="76" t="n"/>
      <c r="N173" s="76" t="n"/>
      <c r="O173" s="17" t="str"/>
    </row>
    <row r="174">
      <c r="A174" s="17" t="n"/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92" t="n"/>
      <c r="L174" s="76" t="n"/>
      <c r="M174" s="76" t="n"/>
      <c r="N174" s="76" t="n"/>
      <c r="O174" s="17" t="str"/>
    </row>
    <row r="175">
      <c r="A175" s="17" t="n"/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92" t="n"/>
      <c r="L175" s="76" t="n"/>
      <c r="M175" s="76" t="n"/>
      <c r="N175" s="76" t="n"/>
      <c r="O175" s="17" t="str"/>
    </row>
    <row r="176">
      <c r="A176" s="17" t="n"/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92" t="n"/>
      <c r="L176" s="76" t="n"/>
      <c r="M176" s="76" t="n"/>
      <c r="N176" s="76" t="n"/>
      <c r="O176" s="17" t="str"/>
    </row>
    <row r="177">
      <c r="A177" s="17" t="n"/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92" t="n"/>
      <c r="L177" s="76" t="n"/>
      <c r="M177" s="76" t="n"/>
      <c r="N177" s="76" t="n"/>
      <c r="O177" s="17" t="str"/>
    </row>
    <row r="178">
      <c r="A178" s="17" t="n"/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92" t="n"/>
      <c r="L178" s="76" t="n"/>
      <c r="M178" s="76" t="n"/>
      <c r="N178" s="76" t="n"/>
      <c r="O178" s="17" t="str"/>
    </row>
    <row r="179">
      <c r="A179" s="17" t="n"/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92" t="n"/>
      <c r="L179" s="76" t="n"/>
      <c r="M179" s="76" t="n"/>
      <c r="N179" s="76" t="n"/>
      <c r="O179" s="17" t="str"/>
    </row>
    <row r="180">
      <c r="A180" s="17" t="n"/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92" t="n"/>
      <c r="L180" s="76" t="n"/>
      <c r="M180" s="76" t="n"/>
      <c r="N180" s="76" t="n"/>
      <c r="O180" s="17" t="str"/>
    </row>
    <row r="181">
      <c r="A181" s="17" t="n"/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92" t="n"/>
      <c r="L181" s="76" t="n"/>
      <c r="M181" s="76" t="n"/>
      <c r="N181" s="76" t="n"/>
      <c r="O181" s="17" t="str"/>
    </row>
    <row r="182">
      <c r="A182" s="17" t="n"/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92" t="n"/>
      <c r="L182" s="76" t="n"/>
      <c r="M182" s="76" t="n"/>
      <c r="N182" s="76" t="n"/>
      <c r="O182" s="17" t="str"/>
    </row>
    <row r="183">
      <c r="A183" s="17" t="n"/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92" t="n"/>
      <c r="L183" s="76" t="n"/>
      <c r="M183" s="76" t="n"/>
      <c r="N183" s="76" t="n"/>
      <c r="O183" s="17" t="str"/>
    </row>
    <row r="184">
      <c r="A184" s="17" t="n"/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92" t="n"/>
      <c r="L184" s="76" t="n"/>
      <c r="M184" s="76" t="n"/>
      <c r="N184" s="76" t="n"/>
      <c r="O184" s="17" t="str"/>
    </row>
    <row r="185">
      <c r="A185" s="17" t="n"/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92" t="n"/>
      <c r="L185" s="76" t="n"/>
      <c r="M185" s="76" t="n"/>
      <c r="N185" s="76" t="n"/>
      <c r="O185" s="17" t="str"/>
    </row>
    <row r="186">
      <c r="A186" s="17" t="n"/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92" t="n"/>
      <c r="L186" s="76" t="n"/>
      <c r="M186" s="76" t="n"/>
      <c r="N186" s="76" t="n"/>
      <c r="O186" s="17" t="str"/>
    </row>
    <row r="187">
      <c r="A187" s="17" t="n"/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92" t="n"/>
      <c r="L187" s="76" t="n"/>
      <c r="M187" s="76" t="n"/>
      <c r="N187" s="76" t="n"/>
      <c r="O187" s="17" t="str"/>
    </row>
    <row r="188">
      <c r="A188" s="17" t="n"/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92" t="n"/>
      <c r="L188" s="76" t="n"/>
      <c r="M188" s="76" t="n"/>
      <c r="N188" s="76" t="n"/>
      <c r="O188" s="17" t="str"/>
    </row>
    <row r="189">
      <c r="A189" s="17" t="n"/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92" t="n"/>
      <c r="L189" s="76" t="n"/>
      <c r="M189" s="76" t="n"/>
      <c r="N189" s="76" t="n"/>
      <c r="O189" s="17" t="str"/>
    </row>
    <row r="190">
      <c r="A190" s="17" t="n"/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92" t="n"/>
      <c r="L190" s="76" t="n"/>
      <c r="M190" s="76" t="n"/>
      <c r="N190" s="76" t="n"/>
      <c r="O190" s="17" t="str"/>
    </row>
    <row r="191">
      <c r="A191" s="17" t="n"/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92" t="n"/>
      <c r="L191" s="76" t="n"/>
      <c r="M191" s="76" t="n"/>
      <c r="N191" s="76" t="n"/>
      <c r="O191" s="17" t="str"/>
    </row>
    <row r="192">
      <c r="A192" s="17" t="n"/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92" t="n"/>
      <c r="L192" s="76" t="n"/>
      <c r="M192" s="76" t="n"/>
      <c r="N192" s="76" t="n"/>
      <c r="O192" s="17" t="str"/>
    </row>
    <row r="193">
      <c r="A193" s="17" t="n"/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92" t="n"/>
      <c r="L193" s="76" t="n"/>
      <c r="M193" s="76" t="n"/>
      <c r="N193" s="76" t="n"/>
      <c r="O193" s="17" t="str"/>
    </row>
    <row r="194">
      <c r="A194" s="17" t="n"/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92" t="n"/>
      <c r="L194" s="76" t="n"/>
      <c r="M194" s="76" t="n"/>
      <c r="N194" s="76" t="n"/>
      <c r="O194" s="17" t="str"/>
    </row>
    <row r="195">
      <c r="A195" s="17" t="n"/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92" t="n"/>
      <c r="L195" s="76" t="n"/>
      <c r="M195" s="76" t="n"/>
      <c r="N195" s="76" t="n"/>
      <c r="O195" s="17" t="str"/>
    </row>
    <row r="196">
      <c r="A196" s="17" t="n"/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92" t="n"/>
      <c r="L196" s="76" t="n"/>
      <c r="M196" s="76" t="n"/>
      <c r="N196" s="76" t="n"/>
      <c r="O196" s="17" t="str"/>
    </row>
    <row r="197">
      <c r="A197" s="17" t="n"/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92" t="n"/>
      <c r="L197" s="76" t="n"/>
      <c r="M197" s="76" t="n"/>
      <c r="N197" s="76" t="n"/>
      <c r="O197" s="17" t="str"/>
    </row>
    <row r="198">
      <c r="A198" s="17" t="n"/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92" t="n"/>
      <c r="L198" s="76" t="n"/>
      <c r="M198" s="76" t="n"/>
      <c r="N198" s="76" t="n"/>
      <c r="O198" s="17" t="str"/>
    </row>
    <row r="199">
      <c r="A199" s="17" t="n"/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92" t="n"/>
      <c r="L199" s="76" t="n"/>
      <c r="M199" s="76" t="n"/>
      <c r="N199" s="76" t="n"/>
      <c r="O199" s="17" t="str"/>
    </row>
    <row r="200">
      <c r="A200" s="17" t="n"/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92" t="n"/>
      <c r="L200" s="76" t="n"/>
      <c r="M200" s="76" t="n"/>
      <c r="N200" s="76" t="n"/>
      <c r="O200" s="17" t="str"/>
    </row>
    <row r="201">
      <c r="K201" s="93" t="n"/>
      <c r="L201" s="78" t="n"/>
      <c r="M201" s="78" t="n"/>
      <c r="N201" s="78" t="n"/>
    </row>
    <row r="202">
      <c r="K202" s="93" t="n"/>
      <c r="L202" s="78" t="n"/>
      <c r="M202" s="78" t="n"/>
      <c r="N202" s="78" t="n"/>
    </row>
    <row r="203">
      <c r="K203" s="93" t="n"/>
      <c r="L203" s="78" t="n"/>
      <c r="M203" s="78" t="n"/>
      <c r="N203" s="78" t="n"/>
    </row>
    <row r="204">
      <c r="K204" s="93" t="n"/>
      <c r="L204" s="78" t="n"/>
      <c r="M204" s="78" t="n"/>
      <c r="N204" s="78" t="n"/>
    </row>
    <row r="205">
      <c r="K205" s="93" t="n"/>
      <c r="L205" s="78" t="n"/>
      <c r="M205" s="78" t="n"/>
      <c r="N205" s="78" t="n"/>
    </row>
    <row r="206">
      <c r="K206" s="93" t="n"/>
      <c r="L206" s="78" t="n"/>
      <c r="M206" s="78" t="n"/>
      <c r="N206" s="78" t="n"/>
    </row>
    <row r="207">
      <c r="K207" s="93" t="n"/>
      <c r="L207" s="78" t="n"/>
      <c r="M207" s="78" t="n"/>
      <c r="N207" s="78" t="n"/>
    </row>
    <row r="208">
      <c r="K208" s="93" t="n"/>
      <c r="L208" s="78" t="n"/>
      <c r="M208" s="78" t="n"/>
      <c r="N208" s="78" t="n"/>
    </row>
    <row r="209">
      <c r="K209" s="93" t="n"/>
      <c r="L209" s="78" t="n"/>
      <c r="M209" s="78" t="n"/>
      <c r="N209" s="78" t="n"/>
    </row>
    <row r="210">
      <c r="K210" s="93" t="n"/>
      <c r="L210" s="78" t="n"/>
      <c r="M210" s="78" t="n"/>
      <c r="N210" s="78" t="n"/>
    </row>
    <row r="211">
      <c r="K211" s="93" t="n"/>
      <c r="L211" s="78" t="n"/>
      <c r="M211" s="78" t="n"/>
      <c r="N211" s="78" t="n"/>
    </row>
    <row r="212">
      <c r="K212" s="93" t="n"/>
      <c r="L212" s="78" t="n"/>
      <c r="M212" s="78" t="n"/>
      <c r="N212" s="78" t="n"/>
    </row>
    <row r="213">
      <c r="K213" s="93" t="n"/>
      <c r="L213" s="78" t="n"/>
      <c r="M213" s="78" t="n"/>
      <c r="N213" s="78" t="n"/>
    </row>
    <row r="214">
      <c r="K214" s="93" t="n"/>
      <c r="L214" s="78" t="n"/>
      <c r="M214" s="78" t="n"/>
      <c r="N214" s="78" t="n"/>
    </row>
    <row r="215">
      <c r="K215" s="93" t="n"/>
      <c r="L215" s="78" t="n"/>
      <c r="M215" s="78" t="n"/>
      <c r="N215" s="78" t="n"/>
    </row>
    <row r="216">
      <c r="K216" s="93" t="n"/>
      <c r="L216" s="78" t="n"/>
      <c r="M216" s="78" t="n"/>
      <c r="N216" s="78" t="n"/>
    </row>
    <row r="217">
      <c r="K217" s="93" t="n"/>
      <c r="L217" s="78" t="n"/>
      <c r="M217" s="78" t="n"/>
      <c r="N217" s="78" t="n"/>
    </row>
    <row r="218">
      <c r="K218" s="93" t="n"/>
      <c r="L218" s="78" t="n"/>
      <c r="M218" s="78" t="n"/>
      <c r="N218" s="78" t="n"/>
    </row>
    <row r="219">
      <c r="K219" s="93" t="n"/>
      <c r="L219" s="78" t="n"/>
      <c r="M219" s="78" t="n"/>
      <c r="N219" s="78" t="n"/>
    </row>
    <row r="220">
      <c r="K220" s="93" t="n"/>
      <c r="L220" s="78" t="n"/>
      <c r="M220" s="78" t="n"/>
      <c r="N220" s="78" t="n"/>
    </row>
    <row r="221">
      <c r="K221" s="93" t="n"/>
      <c r="L221" s="78" t="n"/>
      <c r="M221" s="78" t="n"/>
      <c r="N221" s="78" t="n"/>
    </row>
    <row r="222">
      <c r="K222" s="93" t="n"/>
      <c r="L222" s="78" t="n"/>
      <c r="M222" s="78" t="n"/>
      <c r="N222" s="78" t="n"/>
    </row>
    <row r="223">
      <c r="K223" s="93" t="n"/>
      <c r="L223" s="78" t="n"/>
      <c r="M223" s="78" t="n"/>
      <c r="N223" s="78" t="n"/>
    </row>
    <row r="224">
      <c r="K224" s="93" t="n"/>
      <c r="L224" s="78" t="n"/>
      <c r="M224" s="78" t="n"/>
      <c r="N224" s="78" t="n"/>
    </row>
    <row r="225">
      <c r="K225" s="93" t="n"/>
      <c r="L225" s="78" t="n"/>
      <c r="M225" s="78" t="n"/>
      <c r="N225" s="78" t="n"/>
    </row>
    <row r="226">
      <c r="K226" s="93" t="n"/>
      <c r="L226" s="78" t="n"/>
      <c r="M226" s="78" t="n"/>
      <c r="N226" s="78" t="n"/>
    </row>
    <row r="227">
      <c r="K227" s="93" t="n"/>
      <c r="L227" s="78" t="n"/>
      <c r="M227" s="78" t="n"/>
      <c r="N227" s="78" t="n"/>
    </row>
    <row r="228">
      <c r="K228" s="93" t="n"/>
      <c r="L228" s="78" t="n"/>
      <c r="M228" s="78" t="n"/>
      <c r="N228" s="78" t="n"/>
    </row>
    <row r="229">
      <c r="K229" s="93" t="n"/>
      <c r="L229" s="78" t="n"/>
      <c r="M229" s="78" t="n"/>
      <c r="N229" s="78" t="n"/>
    </row>
    <row r="230">
      <c r="K230" s="93" t="n"/>
      <c r="L230" s="78" t="n"/>
      <c r="M230" s="78" t="n"/>
      <c r="N230" s="78" t="n"/>
    </row>
    <row r="231">
      <c r="K231" s="93" t="n"/>
      <c r="L231" s="78" t="n"/>
      <c r="M231" s="78" t="n"/>
      <c r="N231" s="78" t="n"/>
    </row>
    <row r="232">
      <c r="K232" s="93" t="n"/>
      <c r="L232" s="78" t="n"/>
      <c r="M232" s="78" t="n"/>
      <c r="N232" s="78" t="n"/>
    </row>
    <row r="233">
      <c r="K233" s="93" t="n"/>
      <c r="L233" s="78" t="n"/>
      <c r="M233" s="78" t="n"/>
      <c r="N233" s="78" t="n"/>
    </row>
    <row r="234">
      <c r="K234" s="93" t="n"/>
      <c r="L234" s="78" t="n"/>
      <c r="M234" s="78" t="n"/>
      <c r="N234" s="78" t="n"/>
    </row>
    <row r="235">
      <c r="K235" s="93" t="n"/>
      <c r="L235" s="78" t="n"/>
      <c r="M235" s="78" t="n"/>
      <c r="N235" s="78" t="n"/>
    </row>
    <row r="236">
      <c r="K236" s="93" t="n"/>
      <c r="L236" s="78" t="n"/>
      <c r="M236" s="78" t="n"/>
      <c r="N236" s="78" t="n"/>
    </row>
    <row r="237">
      <c r="K237" s="93" t="n"/>
      <c r="L237" s="78" t="n"/>
      <c r="M237" s="78" t="n"/>
      <c r="N237" s="78" t="n"/>
    </row>
    <row r="238">
      <c r="K238" s="93" t="n"/>
      <c r="L238" s="78" t="n"/>
      <c r="M238" s="78" t="n"/>
      <c r="N238" s="78" t="n"/>
    </row>
    <row r="239">
      <c r="K239" s="93" t="n"/>
      <c r="L239" s="78" t="n"/>
      <c r="M239" s="78" t="n"/>
      <c r="N239" s="78" t="n"/>
    </row>
    <row r="240">
      <c r="K240" s="93" t="n"/>
      <c r="L240" s="78" t="n"/>
      <c r="M240" s="78" t="n"/>
      <c r="N240" s="78" t="n"/>
    </row>
    <row r="241">
      <c r="K241" s="93" t="n"/>
      <c r="L241" s="78" t="n"/>
      <c r="M241" s="78" t="n"/>
      <c r="N241" s="78" t="n"/>
    </row>
    <row r="242">
      <c r="K242" s="93" t="n"/>
      <c r="L242" s="78" t="n"/>
      <c r="M242" s="78" t="n"/>
      <c r="N242" s="78" t="n"/>
    </row>
    <row r="243">
      <c r="K243" s="93" t="n"/>
      <c r="L243" s="78" t="n"/>
      <c r="M243" s="78" t="n"/>
      <c r="N243" s="78" t="n"/>
    </row>
    <row r="244">
      <c r="K244" s="93" t="n"/>
      <c r="L244" s="78" t="n"/>
      <c r="M244" s="78" t="n"/>
      <c r="N244" s="78" t="n"/>
    </row>
    <row r="245">
      <c r="K245" s="93" t="n"/>
      <c r="L245" s="78" t="n"/>
      <c r="M245" s="78" t="n"/>
      <c r="N245" s="78" t="n"/>
    </row>
    <row r="246">
      <c r="K246" s="93" t="n"/>
      <c r="L246" s="78" t="n"/>
      <c r="M246" s="78" t="n"/>
      <c r="N246" s="78" t="n"/>
    </row>
    <row r="247">
      <c r="K247" s="93" t="n"/>
      <c r="L247" s="78" t="n"/>
      <c r="M247" s="78" t="n"/>
      <c r="N247" s="78" t="n"/>
    </row>
    <row r="248">
      <c r="K248" s="93" t="n"/>
      <c r="L248" s="78" t="n"/>
      <c r="M248" s="78" t="n"/>
      <c r="N248" s="78" t="n"/>
    </row>
    <row r="249">
      <c r="K249" s="93" t="n"/>
      <c r="L249" s="78" t="n"/>
      <c r="M249" s="78" t="n"/>
      <c r="N249" s="78" t="n"/>
    </row>
    <row r="250">
      <c r="K250" s="93" t="n"/>
      <c r="L250" s="78" t="n"/>
      <c r="M250" s="78" t="n"/>
      <c r="N250" s="78" t="n"/>
    </row>
    <row r="251">
      <c r="K251" s="93" t="n"/>
      <c r="L251" s="78" t="n"/>
      <c r="M251" s="78" t="n"/>
      <c r="N251" s="78" t="n"/>
    </row>
    <row r="252">
      <c r="K252" s="93" t="n"/>
      <c r="L252" s="78" t="n"/>
      <c r="M252" s="78" t="n"/>
      <c r="N252" s="78" t="n"/>
    </row>
    <row r="253">
      <c r="K253" s="93" t="n"/>
      <c r="L253" s="78" t="n"/>
      <c r="M253" s="78" t="n"/>
      <c r="N253" s="78" t="n"/>
    </row>
    <row r="254">
      <c r="K254" s="93" t="n"/>
      <c r="L254" s="78" t="n"/>
      <c r="M254" s="78" t="n"/>
      <c r="N254" s="78" t="n"/>
    </row>
    <row r="255">
      <c r="K255" s="93" t="n"/>
      <c r="L255" s="78" t="n"/>
      <c r="M255" s="78" t="n"/>
      <c r="N255" s="78" t="n"/>
    </row>
    <row r="256">
      <c r="K256" s="93" t="n"/>
      <c r="L256" s="78" t="n"/>
      <c r="M256" s="78" t="n"/>
      <c r="N256" s="78" t="n"/>
    </row>
    <row r="257">
      <c r="K257" s="93" t="n"/>
      <c r="L257" s="78" t="n"/>
      <c r="M257" s="78" t="n"/>
      <c r="N257" s="78" t="n"/>
    </row>
    <row r="258">
      <c r="K258" s="93" t="n"/>
      <c r="L258" s="78" t="n"/>
      <c r="M258" s="78" t="n"/>
      <c r="N258" s="78" t="n"/>
    </row>
    <row r="259">
      <c r="K259" s="93" t="n"/>
      <c r="L259" s="78" t="n"/>
      <c r="M259" s="78" t="n"/>
      <c r="N259" s="78" t="n"/>
    </row>
    <row r="260">
      <c r="K260" s="93" t="n"/>
      <c r="L260" s="78" t="n"/>
      <c r="M260" s="78" t="n"/>
      <c r="N260" s="78" t="n"/>
    </row>
    <row r="261">
      <c r="K261" s="93" t="n"/>
      <c r="L261" s="78" t="n"/>
      <c r="M261" s="78" t="n"/>
      <c r="N261" s="78" t="n"/>
    </row>
    <row r="262">
      <c r="K262" s="93" t="n"/>
      <c r="L262" s="78" t="n"/>
      <c r="M262" s="78" t="n"/>
      <c r="N262" s="78" t="n"/>
    </row>
    <row r="263">
      <c r="K263" s="93" t="n"/>
      <c r="L263" s="78" t="n"/>
      <c r="M263" s="78" t="n"/>
      <c r="N263" s="78" t="n"/>
    </row>
    <row r="264">
      <c r="K264" s="93" t="n"/>
      <c r="L264" s="78" t="n"/>
      <c r="M264" s="78" t="n"/>
      <c r="N264" s="78" t="n"/>
    </row>
    <row r="265">
      <c r="K265" s="93" t="n"/>
      <c r="L265" s="78" t="n"/>
      <c r="M265" s="78" t="n"/>
      <c r="N265" s="78" t="n"/>
    </row>
    <row r="266">
      <c r="K266" s="93" t="n"/>
      <c r="L266" s="78" t="n"/>
      <c r="M266" s="78" t="n"/>
      <c r="N266" s="78" t="n"/>
    </row>
    <row r="267">
      <c r="K267" s="93" t="n"/>
      <c r="L267" s="78" t="n"/>
      <c r="M267" s="78" t="n"/>
      <c r="N267" s="78" t="n"/>
    </row>
    <row r="268">
      <c r="K268" s="93" t="n"/>
      <c r="L268" s="78" t="n"/>
      <c r="M268" s="78" t="n"/>
      <c r="N268" s="78" t="n"/>
    </row>
    <row r="269">
      <c r="K269" s="93" t="n"/>
      <c r="L269" s="78" t="n"/>
      <c r="M269" s="78" t="n"/>
      <c r="N269" s="78" t="n"/>
    </row>
    <row r="270">
      <c r="K270" s="93" t="n"/>
      <c r="L270" s="78" t="n"/>
      <c r="M270" s="78" t="n"/>
      <c r="N270" s="78" t="n"/>
    </row>
    <row r="271">
      <c r="K271" s="93" t="n"/>
      <c r="L271" s="78" t="n"/>
      <c r="M271" s="78" t="n"/>
      <c r="N271" s="78" t="n"/>
    </row>
    <row r="272">
      <c r="K272" s="93" t="n"/>
      <c r="L272" s="78" t="n"/>
      <c r="M272" s="78" t="n"/>
      <c r="N272" s="78" t="n"/>
    </row>
    <row r="273">
      <c r="K273" s="93" t="n"/>
      <c r="L273" s="78" t="n"/>
      <c r="M273" s="78" t="n"/>
      <c r="N273" s="78" t="n"/>
    </row>
    <row r="274">
      <c r="K274" s="93" t="n"/>
      <c r="L274" s="78" t="n"/>
      <c r="M274" s="78" t="n"/>
      <c r="N274" s="78" t="n"/>
    </row>
    <row r="275">
      <c r="K275" s="93" t="n"/>
      <c r="L275" s="78" t="n"/>
      <c r="M275" s="78" t="n"/>
      <c r="N275" s="78" t="n"/>
    </row>
    <row r="276">
      <c r="K276" s="93" t="n"/>
      <c r="L276" s="78" t="n"/>
      <c r="M276" s="78" t="n"/>
      <c r="N276" s="78" t="n"/>
    </row>
    <row r="277">
      <c r="K277" s="93" t="n"/>
      <c r="L277" s="78" t="n"/>
      <c r="M277" s="78" t="n"/>
      <c r="N277" s="78" t="n"/>
    </row>
    <row r="278">
      <c r="K278" s="93" t="n"/>
      <c r="L278" s="78" t="n"/>
      <c r="M278" s="78" t="n"/>
      <c r="N278" s="78" t="n"/>
    </row>
    <row r="279">
      <c r="K279" s="93" t="n"/>
      <c r="L279" s="78" t="n"/>
      <c r="M279" s="78" t="n"/>
      <c r="N279" s="78" t="n"/>
    </row>
    <row r="280">
      <c r="K280" s="93" t="n"/>
      <c r="L280" s="78" t="n"/>
      <c r="M280" s="78" t="n"/>
      <c r="N280" s="78" t="n"/>
    </row>
    <row r="281">
      <c r="K281" s="93" t="n"/>
      <c r="L281" s="78" t="n"/>
      <c r="M281" s="78" t="n"/>
      <c r="N281" s="78" t="n"/>
    </row>
    <row r="282">
      <c r="K282" s="93" t="n"/>
      <c r="L282" s="78" t="n"/>
      <c r="M282" s="78" t="n"/>
      <c r="N282" s="78" t="n"/>
    </row>
    <row r="283">
      <c r="K283" s="93" t="n"/>
      <c r="L283" s="78" t="n"/>
      <c r="M283" s="78" t="n"/>
      <c r="N283" s="78" t="n"/>
    </row>
    <row r="284">
      <c r="K284" s="93" t="n"/>
      <c r="L284" s="78" t="n"/>
      <c r="M284" s="78" t="n"/>
      <c r="N284" s="78" t="n"/>
    </row>
    <row r="285">
      <c r="K285" s="93" t="n"/>
      <c r="L285" s="78" t="n"/>
      <c r="M285" s="78" t="n"/>
      <c r="N285" s="78" t="n"/>
    </row>
    <row r="286">
      <c r="K286" s="93" t="n"/>
      <c r="L286" s="78" t="n"/>
      <c r="M286" s="78" t="n"/>
      <c r="N286" s="78" t="n"/>
    </row>
    <row r="287">
      <c r="K287" s="93" t="n"/>
      <c r="L287" s="78" t="n"/>
      <c r="M287" s="78" t="n"/>
      <c r="N287" s="78" t="n"/>
    </row>
    <row r="288">
      <c r="K288" s="93" t="n"/>
      <c r="L288" s="78" t="n"/>
      <c r="M288" s="78" t="n"/>
      <c r="N288" s="78" t="n"/>
    </row>
    <row r="289">
      <c r="K289" s="93" t="n"/>
      <c r="L289" s="78" t="n"/>
      <c r="M289" s="78" t="n"/>
      <c r="N289" s="78" t="n"/>
    </row>
    <row r="290">
      <c r="K290" s="93" t="n"/>
      <c r="L290" s="78" t="n"/>
      <c r="M290" s="78" t="n"/>
      <c r="N290" s="78" t="n"/>
    </row>
    <row r="291">
      <c r="K291" s="93" t="n"/>
      <c r="L291" s="78" t="n"/>
      <c r="M291" s="78" t="n"/>
      <c r="N291" s="78" t="n"/>
    </row>
    <row r="292">
      <c r="K292" s="93" t="n"/>
      <c r="L292" s="78" t="n"/>
      <c r="M292" s="78" t="n"/>
      <c r="N292" s="78" t="n"/>
    </row>
    <row r="293">
      <c r="K293" s="93" t="n"/>
      <c r="L293" s="78" t="n"/>
      <c r="M293" s="78" t="n"/>
      <c r="N293" s="78" t="n"/>
    </row>
    <row r="294">
      <c r="K294" s="93" t="n"/>
      <c r="L294" s="78" t="n"/>
      <c r="M294" s="78" t="n"/>
      <c r="N294" s="78" t="n"/>
    </row>
    <row r="295">
      <c r="K295" s="93" t="n"/>
      <c r="L295" s="78" t="n"/>
      <c r="M295" s="78" t="n"/>
      <c r="N295" s="78" t="n"/>
    </row>
    <row r="296">
      <c r="K296" s="93" t="n"/>
      <c r="L296" s="78" t="n"/>
      <c r="M296" s="78" t="n"/>
      <c r="N296" s="78" t="n"/>
    </row>
    <row r="297">
      <c r="K297" s="93" t="n"/>
      <c r="L297" s="78" t="n"/>
      <c r="M297" s="78" t="n"/>
      <c r="N297" s="78" t="n"/>
    </row>
    <row r="298">
      <c r="K298" s="93" t="n"/>
      <c r="L298" s="78" t="n"/>
      <c r="M298" s="78" t="n"/>
      <c r="N298" s="78" t="n"/>
    </row>
    <row r="299">
      <c r="K299" s="93" t="n"/>
      <c r="L299" s="78" t="n"/>
      <c r="M299" s="78" t="n"/>
      <c r="N299" s="78" t="n"/>
    </row>
    <row r="300">
      <c r="K300" s="93" t="n"/>
      <c r="L300" s="78" t="n"/>
      <c r="M300" s="78" t="n"/>
      <c r="N300" s="78" t="n"/>
    </row>
    <row r="301">
      <c r="K301" s="93" t="n"/>
      <c r="L301" s="78" t="n"/>
      <c r="M301" s="78" t="n"/>
      <c r="N301" s="78" t="n"/>
    </row>
    <row r="302">
      <c r="K302" s="93" t="n"/>
      <c r="L302" s="78" t="n"/>
      <c r="M302" s="78" t="n"/>
      <c r="N302" s="78" t="n"/>
    </row>
    <row r="303">
      <c r="K303" s="93" t="n"/>
      <c r="L303" s="78" t="n"/>
      <c r="M303" s="78" t="n"/>
      <c r="N303" s="78" t="n"/>
    </row>
    <row r="304">
      <c r="K304" s="93" t="n"/>
      <c r="L304" s="78" t="n"/>
      <c r="M304" s="78" t="n"/>
      <c r="N304" s="78" t="n"/>
    </row>
    <row r="305">
      <c r="K305" s="93" t="n"/>
      <c r="L305" s="78" t="n"/>
      <c r="M305" s="78" t="n"/>
      <c r="N305" s="78" t="n"/>
    </row>
    <row r="306">
      <c r="K306" s="93" t="n"/>
      <c r="L306" s="78" t="n"/>
      <c r="M306" s="78" t="n"/>
      <c r="N306" s="78" t="n"/>
    </row>
    <row r="307">
      <c r="K307" s="93" t="n"/>
      <c r="L307" s="78" t="n"/>
      <c r="M307" s="78" t="n"/>
      <c r="N307" s="78" t="n"/>
    </row>
    <row r="308">
      <c r="K308" s="93" t="n"/>
      <c r="L308" s="78" t="n"/>
      <c r="M308" s="78" t="n"/>
      <c r="N308" s="78" t="n"/>
    </row>
    <row r="309">
      <c r="K309" s="93" t="n"/>
      <c r="L309" s="78" t="n"/>
      <c r="M309" s="78" t="n"/>
      <c r="N309" s="78" t="n"/>
    </row>
    <row r="310">
      <c r="K310" s="93" t="n"/>
      <c r="L310" s="78" t="n"/>
      <c r="M310" s="78" t="n"/>
      <c r="N310" s="78" t="n"/>
    </row>
    <row r="311">
      <c r="K311" s="93" t="n"/>
      <c r="L311" s="78" t="n"/>
      <c r="M311" s="78" t="n"/>
      <c r="N311" s="78" t="n"/>
    </row>
    <row r="312">
      <c r="K312" s="93" t="n"/>
      <c r="L312" s="78" t="n"/>
      <c r="M312" s="78" t="n"/>
      <c r="N312" s="78" t="n"/>
    </row>
    <row r="313">
      <c r="K313" s="93" t="n"/>
      <c r="L313" s="78" t="n"/>
      <c r="M313" s="78" t="n"/>
      <c r="N313" s="78" t="n"/>
    </row>
    <row r="314">
      <c r="K314" s="93" t="n"/>
      <c r="L314" s="78" t="n"/>
      <c r="M314" s="78" t="n"/>
      <c r="N314" s="78" t="n"/>
    </row>
    <row r="315">
      <c r="K315" s="93" t="n"/>
      <c r="L315" s="78" t="n"/>
      <c r="M315" s="78" t="n"/>
      <c r="N315" s="78" t="n"/>
    </row>
    <row r="316">
      <c r="K316" s="93" t="n"/>
      <c r="L316" s="78" t="n"/>
      <c r="M316" s="78" t="n"/>
      <c r="N316" s="78" t="n"/>
    </row>
    <row r="317">
      <c r="K317" s="93" t="n"/>
      <c r="L317" s="78" t="n"/>
      <c r="M317" s="78" t="n"/>
      <c r="N317" s="78" t="n"/>
    </row>
    <row r="318">
      <c r="K318" s="93" t="n"/>
      <c r="L318" s="78" t="n"/>
      <c r="M318" s="78" t="n"/>
      <c r="N318" s="78" t="n"/>
    </row>
    <row r="319">
      <c r="K319" s="93" t="n"/>
      <c r="L319" s="78" t="n"/>
      <c r="M319" s="78" t="n"/>
      <c r="N319" s="78" t="n"/>
    </row>
    <row r="320">
      <c r="K320" s="93" t="n"/>
      <c r="L320" s="78" t="n"/>
      <c r="M320" s="78" t="n"/>
      <c r="N320" s="78" t="n"/>
    </row>
    <row r="321">
      <c r="K321" s="93" t="n"/>
      <c r="L321" s="78" t="n"/>
      <c r="M321" s="78" t="n"/>
      <c r="N321" s="78" t="n"/>
    </row>
    <row r="322">
      <c r="K322" s="93" t="n"/>
      <c r="L322" s="78" t="n"/>
      <c r="M322" s="78" t="n"/>
      <c r="N322" s="78" t="n"/>
    </row>
    <row r="323">
      <c r="K323" s="93" t="n"/>
      <c r="L323" s="78" t="n"/>
      <c r="M323" s="78" t="n"/>
      <c r="N323" s="78" t="n"/>
    </row>
    <row r="324">
      <c r="K324" s="93" t="n"/>
      <c r="L324" s="78" t="n"/>
      <c r="M324" s="78" t="n"/>
      <c r="N324" s="78" t="n"/>
    </row>
    <row r="325">
      <c r="K325" s="93" t="n"/>
      <c r="L325" s="78" t="n"/>
      <c r="M325" s="78" t="n"/>
      <c r="N325" s="78" t="n"/>
    </row>
    <row r="326">
      <c r="K326" s="93" t="n"/>
      <c r="L326" s="78" t="n"/>
      <c r="M326" s="78" t="n"/>
      <c r="N326" s="78" t="n"/>
    </row>
    <row r="327">
      <c r="K327" s="93" t="n"/>
      <c r="L327" s="78" t="n"/>
      <c r="M327" s="78" t="n"/>
      <c r="N327" s="78" t="n"/>
    </row>
    <row r="328">
      <c r="K328" s="93" t="n"/>
      <c r="L328" s="78" t="n"/>
      <c r="M328" s="78" t="n"/>
      <c r="N328" s="78" t="n"/>
    </row>
    <row r="329">
      <c r="K329" s="93" t="n"/>
      <c r="L329" s="78" t="n"/>
      <c r="M329" s="78" t="n"/>
      <c r="N329" s="78" t="n"/>
    </row>
    <row r="330">
      <c r="K330" s="93" t="n"/>
      <c r="L330" s="78" t="n"/>
      <c r="M330" s="78" t="n"/>
      <c r="N330" s="78" t="n"/>
    </row>
    <row r="331">
      <c r="K331" s="93" t="n"/>
      <c r="L331" s="78" t="n"/>
      <c r="M331" s="78" t="n"/>
      <c r="N331" s="78" t="n"/>
    </row>
    <row r="332">
      <c r="K332" s="93" t="n"/>
      <c r="L332" s="78" t="n"/>
      <c r="M332" s="78" t="n"/>
      <c r="N332" s="78" t="n"/>
    </row>
    <row r="333">
      <c r="K333" s="93" t="n"/>
      <c r="L333" s="78" t="n"/>
      <c r="M333" s="78" t="n"/>
      <c r="N333" s="78" t="n"/>
    </row>
    <row r="334">
      <c r="K334" s="93" t="n"/>
      <c r="L334" s="78" t="n"/>
      <c r="M334" s="78" t="n"/>
      <c r="N334" s="78" t="n"/>
    </row>
    <row r="335">
      <c r="K335" s="93" t="n"/>
      <c r="L335" s="78" t="n"/>
      <c r="M335" s="78" t="n"/>
      <c r="N335" s="78" t="n"/>
    </row>
    <row r="336">
      <c r="K336" s="93" t="n"/>
      <c r="L336" s="78" t="n"/>
      <c r="M336" s="78" t="n"/>
      <c r="N336" s="78" t="n"/>
    </row>
    <row r="337">
      <c r="K337" s="93" t="n"/>
      <c r="L337" s="78" t="n"/>
      <c r="M337" s="78" t="n"/>
      <c r="N337" s="78" t="n"/>
    </row>
    <row r="338">
      <c r="K338" s="93" t="n"/>
      <c r="L338" s="78" t="n"/>
      <c r="M338" s="78" t="n"/>
      <c r="N338" s="78" t="n"/>
    </row>
    <row r="339">
      <c r="K339" s="93" t="n"/>
      <c r="L339" s="78" t="n"/>
      <c r="M339" s="78" t="n"/>
      <c r="N339" s="78" t="n"/>
    </row>
    <row r="340">
      <c r="K340" s="93" t="n"/>
      <c r="L340" s="78" t="n"/>
      <c r="M340" s="78" t="n"/>
      <c r="N340" s="78" t="n"/>
    </row>
    <row r="341">
      <c r="K341" s="93" t="n"/>
      <c r="L341" s="78" t="n"/>
      <c r="M341" s="78" t="n"/>
      <c r="N341" s="78" t="n"/>
    </row>
    <row r="342">
      <c r="K342" s="93" t="n"/>
      <c r="L342" s="78" t="n"/>
      <c r="M342" s="78" t="n"/>
      <c r="N342" s="78" t="n"/>
    </row>
    <row r="343">
      <c r="K343" s="93" t="n"/>
      <c r="L343" s="78" t="n"/>
      <c r="M343" s="78" t="n"/>
      <c r="N343" s="78" t="n"/>
    </row>
    <row r="344">
      <c r="K344" s="93" t="n"/>
      <c r="L344" s="78" t="n"/>
      <c r="M344" s="78" t="n"/>
      <c r="N344" s="78" t="n"/>
    </row>
    <row r="345">
      <c r="K345" s="93" t="n"/>
      <c r="L345" s="78" t="n"/>
      <c r="M345" s="78" t="n"/>
      <c r="N345" s="78" t="n"/>
    </row>
    <row r="346">
      <c r="K346" s="93" t="n"/>
      <c r="L346" s="78" t="n"/>
      <c r="M346" s="78" t="n"/>
      <c r="N346" s="78" t="n"/>
    </row>
    <row r="347">
      <c r="K347" s="93" t="n"/>
      <c r="L347" s="78" t="n"/>
      <c r="M347" s="78" t="n"/>
      <c r="N347" s="78" t="n"/>
    </row>
    <row r="348">
      <c r="K348" s="93" t="n"/>
      <c r="L348" s="78" t="n"/>
      <c r="M348" s="78" t="n"/>
      <c r="N348" s="78" t="n"/>
    </row>
    <row r="349">
      <c r="K349" s="93" t="n"/>
      <c r="L349" s="78" t="n"/>
      <c r="M349" s="78" t="n"/>
      <c r="N349" s="78" t="n"/>
    </row>
    <row r="350">
      <c r="K350" s="93" t="n"/>
      <c r="L350" s="78" t="n"/>
      <c r="M350" s="78" t="n"/>
      <c r="N350" s="78" t="n"/>
    </row>
    <row r="351">
      <c r="K351" s="93" t="n"/>
      <c r="L351" s="78" t="n"/>
      <c r="M351" s="78" t="n"/>
      <c r="N351" s="78" t="n"/>
    </row>
    <row r="352">
      <c r="K352" s="93" t="n"/>
      <c r="L352" s="78" t="n"/>
      <c r="M352" s="78" t="n"/>
      <c r="N352" s="78" t="n"/>
    </row>
    <row r="353">
      <c r="K353" s="93" t="n"/>
      <c r="L353" s="78" t="n"/>
      <c r="M353" s="78" t="n"/>
      <c r="N353" s="78" t="n"/>
    </row>
    <row r="354">
      <c r="K354" s="93" t="n"/>
      <c r="L354" s="78" t="n"/>
      <c r="M354" s="78" t="n"/>
      <c r="N354" s="78" t="n"/>
    </row>
    <row r="355">
      <c r="K355" s="93" t="n"/>
      <c r="L355" s="78" t="n"/>
      <c r="M355" s="78" t="n"/>
      <c r="N355" s="78" t="n"/>
    </row>
    <row r="356">
      <c r="K356" s="93" t="n"/>
      <c r="L356" s="78" t="n"/>
      <c r="M356" s="78" t="n"/>
      <c r="N356" s="78" t="n"/>
    </row>
    <row r="357">
      <c r="K357" s="93" t="n"/>
      <c r="L357" s="78" t="n"/>
      <c r="M357" s="78" t="n"/>
      <c r="N357" s="78" t="n"/>
    </row>
    <row r="358">
      <c r="K358" s="93" t="n"/>
      <c r="L358" s="78" t="n"/>
      <c r="M358" s="78" t="n"/>
      <c r="N358" s="78" t="n"/>
    </row>
    <row r="359">
      <c r="K359" s="93" t="n"/>
      <c r="L359" s="78" t="n"/>
      <c r="M359" s="78" t="n"/>
      <c r="N359" s="78" t="n"/>
    </row>
    <row r="360">
      <c r="K360" s="93" t="n"/>
      <c r="L360" s="78" t="n"/>
      <c r="M360" s="78" t="n"/>
      <c r="N360" s="78" t="n"/>
    </row>
    <row r="361">
      <c r="K361" s="93" t="n"/>
      <c r="L361" s="78" t="n"/>
      <c r="M361" s="78" t="n"/>
      <c r="N361" s="78" t="n"/>
    </row>
    <row r="362">
      <c r="K362" s="93" t="n"/>
      <c r="L362" s="78" t="n"/>
      <c r="M362" s="78" t="n"/>
      <c r="N362" s="78" t="n"/>
    </row>
    <row r="363">
      <c r="K363" s="93" t="n"/>
      <c r="L363" s="78" t="n"/>
      <c r="M363" s="78" t="n"/>
      <c r="N363" s="78" t="n"/>
    </row>
    <row r="364">
      <c r="K364" s="93" t="n"/>
      <c r="L364" s="78" t="n"/>
      <c r="M364" s="78" t="n"/>
      <c r="N364" s="78" t="n"/>
    </row>
    <row r="365">
      <c r="K365" s="93" t="n"/>
      <c r="L365" s="78" t="n"/>
      <c r="M365" s="78" t="n"/>
      <c r="N365" s="78" t="n"/>
    </row>
    <row r="366">
      <c r="K366" s="93" t="n"/>
      <c r="L366" s="78" t="n"/>
      <c r="M366" s="78" t="n"/>
      <c r="N366" s="78" t="n"/>
    </row>
    <row r="367">
      <c r="K367" s="93" t="n"/>
      <c r="L367" s="78" t="n"/>
      <c r="M367" s="78" t="n"/>
      <c r="N367" s="78" t="n"/>
    </row>
    <row r="368">
      <c r="K368" s="93" t="n"/>
      <c r="L368" s="78" t="n"/>
      <c r="M368" s="78" t="n"/>
      <c r="N368" s="78" t="n"/>
    </row>
    <row r="369">
      <c r="K369" s="93" t="n"/>
      <c r="L369" s="78" t="n"/>
      <c r="M369" s="78" t="n"/>
      <c r="N369" s="78" t="n"/>
    </row>
    <row r="370">
      <c r="K370" s="93" t="n"/>
      <c r="L370" s="78" t="n"/>
      <c r="M370" s="78" t="n"/>
      <c r="N370" s="78" t="n"/>
    </row>
    <row r="371">
      <c r="K371" s="93" t="n"/>
      <c r="L371" s="78" t="n"/>
      <c r="M371" s="78" t="n"/>
      <c r="N371" s="78" t="n"/>
    </row>
    <row r="372">
      <c r="K372" s="93" t="n"/>
      <c r="L372" s="78" t="n"/>
      <c r="M372" s="78" t="n"/>
      <c r="N372" s="78" t="n"/>
    </row>
    <row r="373">
      <c r="K373" s="93" t="n"/>
      <c r="L373" s="78" t="n"/>
      <c r="M373" s="78" t="n"/>
      <c r="N373" s="78" t="n"/>
    </row>
    <row r="374">
      <c r="K374" s="93" t="n"/>
      <c r="L374" s="78" t="n"/>
      <c r="M374" s="78" t="n"/>
      <c r="N374" s="78" t="n"/>
    </row>
    <row r="375">
      <c r="K375" s="93" t="n"/>
      <c r="L375" s="78" t="n"/>
      <c r="M375" s="78" t="n"/>
      <c r="N375" s="78" t="n"/>
    </row>
    <row r="376">
      <c r="K376" s="93" t="n"/>
      <c r="L376" s="78" t="n"/>
      <c r="M376" s="78" t="n"/>
      <c r="N376" s="78" t="n"/>
    </row>
    <row r="377">
      <c r="K377" s="93" t="n"/>
      <c r="L377" s="78" t="n"/>
      <c r="M377" s="78" t="n"/>
      <c r="N377" s="78" t="n"/>
    </row>
    <row r="378">
      <c r="K378" s="93" t="n"/>
      <c r="L378" s="78" t="n"/>
      <c r="M378" s="78" t="n"/>
      <c r="N378" s="78" t="n"/>
    </row>
    <row r="379">
      <c r="K379" s="93" t="n"/>
      <c r="L379" s="78" t="n"/>
      <c r="M379" s="78" t="n"/>
      <c r="N379" s="78" t="n"/>
    </row>
    <row r="380">
      <c r="K380" s="93" t="n"/>
      <c r="L380" s="78" t="n"/>
      <c r="M380" s="78" t="n"/>
      <c r="N380" s="78" t="n"/>
    </row>
    <row r="381">
      <c r="K381" s="93" t="n"/>
      <c r="L381" s="78" t="n"/>
      <c r="M381" s="78" t="n"/>
      <c r="N381" s="78" t="n"/>
    </row>
    <row r="382">
      <c r="K382" s="93" t="n"/>
      <c r="L382" s="78" t="n"/>
      <c r="M382" s="78" t="n"/>
      <c r="N382" s="78" t="n"/>
    </row>
    <row r="383">
      <c r="K383" s="93" t="n"/>
      <c r="L383" s="78" t="n"/>
      <c r="M383" s="78" t="n"/>
      <c r="N383" s="78" t="n"/>
    </row>
    <row r="384">
      <c r="K384" s="93" t="n"/>
      <c r="L384" s="78" t="n"/>
      <c r="M384" s="78" t="n"/>
      <c r="N384" s="78" t="n"/>
    </row>
    <row r="385">
      <c r="K385" s="93" t="n"/>
      <c r="L385" s="78" t="n"/>
      <c r="M385" s="78" t="n"/>
      <c r="N385" s="78" t="n"/>
    </row>
    <row r="386">
      <c r="K386" s="93" t="n"/>
      <c r="L386" s="78" t="n"/>
      <c r="M386" s="78" t="n"/>
      <c r="N386" s="78" t="n"/>
    </row>
    <row r="387">
      <c r="K387" s="93" t="n"/>
      <c r="L387" s="78" t="n"/>
      <c r="M387" s="78" t="n"/>
      <c r="N387" s="78" t="n"/>
    </row>
    <row r="388">
      <c r="K388" s="93" t="n"/>
      <c r="L388" s="78" t="n"/>
      <c r="M388" s="78" t="n"/>
      <c r="N388" s="78" t="n"/>
    </row>
    <row r="389">
      <c r="K389" s="93" t="n"/>
      <c r="L389" s="78" t="n"/>
      <c r="M389" s="78" t="n"/>
      <c r="N389" s="78" t="n"/>
    </row>
    <row r="390">
      <c r="K390" s="93" t="n"/>
      <c r="L390" s="78" t="n"/>
      <c r="M390" s="78" t="n"/>
      <c r="N390" s="78" t="n"/>
    </row>
    <row r="391">
      <c r="K391" s="93" t="n"/>
      <c r="L391" s="78" t="n"/>
      <c r="M391" s="78" t="n"/>
      <c r="N391" s="78" t="n"/>
    </row>
    <row r="392">
      <c r="K392" s="93" t="n"/>
      <c r="L392" s="78" t="n"/>
      <c r="M392" s="78" t="n"/>
      <c r="N392" s="78" t="n"/>
    </row>
    <row r="393">
      <c r="K393" s="93" t="n"/>
      <c r="L393" s="78" t="n"/>
      <c r="M393" s="78" t="n"/>
      <c r="N393" s="78" t="n"/>
    </row>
    <row r="394">
      <c r="K394" s="93" t="n"/>
      <c r="L394" s="78" t="n"/>
      <c r="M394" s="78" t="n"/>
      <c r="N394" s="78" t="n"/>
    </row>
    <row r="395">
      <c r="K395" s="93" t="n"/>
      <c r="L395" s="78" t="n"/>
      <c r="M395" s="78" t="n"/>
      <c r="N395" s="78" t="n"/>
    </row>
    <row r="396">
      <c r="K396" s="93" t="n"/>
      <c r="L396" s="78" t="n"/>
      <c r="M396" s="78" t="n"/>
      <c r="N396" s="78" t="n"/>
    </row>
    <row r="397">
      <c r="K397" s="93" t="n"/>
      <c r="L397" s="78" t="n"/>
      <c r="M397" s="78" t="n"/>
      <c r="N397" s="78" t="n"/>
    </row>
    <row r="398">
      <c r="K398" s="93" t="n"/>
      <c r="L398" s="78" t="n"/>
      <c r="M398" s="78" t="n"/>
      <c r="N398" s="78" t="n"/>
    </row>
    <row r="399">
      <c r="K399" s="93" t="n"/>
      <c r="L399" s="78" t="n"/>
      <c r="M399" s="78" t="n"/>
      <c r="N399" s="78" t="n"/>
    </row>
    <row r="400">
      <c r="K400" s="93" t="n"/>
      <c r="L400" s="78" t="n"/>
      <c r="M400" s="78" t="n"/>
      <c r="N400" s="78" t="n"/>
    </row>
    <row r="401">
      <c r="K401" s="93" t="n"/>
      <c r="L401" s="78" t="n"/>
      <c r="M401" s="78" t="n"/>
      <c r="N401" s="78" t="n"/>
    </row>
    <row r="402">
      <c r="K402" s="93" t="n"/>
      <c r="L402" s="78" t="n"/>
      <c r="M402" s="78" t="n"/>
      <c r="N402" s="78" t="n"/>
    </row>
    <row r="403">
      <c r="K403" s="93" t="n"/>
      <c r="L403" s="78" t="n"/>
      <c r="M403" s="78" t="n"/>
      <c r="N403" s="78" t="n"/>
    </row>
    <row r="404">
      <c r="K404" s="93" t="n"/>
      <c r="L404" s="78" t="n"/>
      <c r="M404" s="78" t="n"/>
      <c r="N404" s="78" t="n"/>
    </row>
    <row r="405">
      <c r="K405" s="93" t="n"/>
      <c r="L405" s="78" t="n"/>
      <c r="M405" s="78" t="n"/>
      <c r="N405" s="78" t="n"/>
    </row>
    <row r="406">
      <c r="K406" s="93" t="n"/>
      <c r="L406" s="78" t="n"/>
      <c r="M406" s="78" t="n"/>
      <c r="N406" s="78" t="n"/>
    </row>
    <row r="407">
      <c r="K407" s="93" t="n"/>
      <c r="L407" s="78" t="n"/>
      <c r="M407" s="78" t="n"/>
      <c r="N407" s="78" t="n"/>
    </row>
    <row r="408">
      <c r="K408" s="93" t="n"/>
      <c r="L408" s="78" t="n"/>
      <c r="M408" s="78" t="n"/>
      <c r="N408" s="78" t="n"/>
    </row>
    <row r="409">
      <c r="K409" s="93" t="n"/>
      <c r="L409" s="78" t="n"/>
      <c r="M409" s="78" t="n"/>
      <c r="N409" s="78" t="n"/>
    </row>
    <row r="410">
      <c r="K410" s="93" t="n"/>
      <c r="L410" s="78" t="n"/>
      <c r="M410" s="78" t="n"/>
      <c r="N410" s="78" t="n"/>
    </row>
    <row r="411">
      <c r="K411" s="93" t="n"/>
      <c r="L411" s="78" t="n"/>
      <c r="M411" s="78" t="n"/>
      <c r="N411" s="78" t="n"/>
    </row>
    <row r="412">
      <c r="K412" s="93" t="n"/>
      <c r="L412" s="78" t="n"/>
      <c r="M412" s="78" t="n"/>
      <c r="N412" s="78" t="n"/>
    </row>
    <row r="413">
      <c r="K413" s="93" t="n"/>
      <c r="L413" s="78" t="n"/>
      <c r="M413" s="78" t="n"/>
      <c r="N413" s="78" t="n"/>
    </row>
    <row r="414">
      <c r="K414" s="93" t="n"/>
      <c r="L414" s="78" t="n"/>
      <c r="M414" s="78" t="n"/>
      <c r="N414" s="78" t="n"/>
    </row>
    <row r="415">
      <c r="K415" s="93" t="n"/>
      <c r="L415" s="78" t="n"/>
      <c r="M415" s="78" t="n"/>
      <c r="N415" s="78" t="n"/>
    </row>
    <row r="416">
      <c r="K416" s="93" t="n"/>
      <c r="L416" s="78" t="n"/>
      <c r="M416" s="78" t="n"/>
      <c r="N416" s="78" t="n"/>
    </row>
    <row r="417">
      <c r="K417" s="93" t="n"/>
      <c r="L417" s="78" t="n"/>
      <c r="M417" s="78" t="n"/>
      <c r="N417" s="78" t="n"/>
    </row>
    <row r="418">
      <c r="K418" s="93" t="n"/>
      <c r="L418" s="78" t="n"/>
      <c r="M418" s="78" t="n"/>
      <c r="N418" s="78" t="n"/>
    </row>
    <row r="419">
      <c r="K419" s="93" t="n"/>
      <c r="L419" s="78" t="n"/>
      <c r="M419" s="78" t="n"/>
      <c r="N419" s="78" t="n"/>
    </row>
    <row r="420">
      <c r="K420" s="93" t="n"/>
      <c r="L420" s="78" t="n"/>
      <c r="M420" s="78" t="n"/>
      <c r="N420" s="78" t="n"/>
    </row>
    <row r="421">
      <c r="K421" s="93" t="n"/>
      <c r="L421" s="78" t="n"/>
      <c r="M421" s="78" t="n"/>
      <c r="N421" s="78" t="n"/>
    </row>
    <row r="422">
      <c r="K422" s="93" t="n"/>
      <c r="L422" s="78" t="n"/>
      <c r="M422" s="78" t="n"/>
      <c r="N422" s="78" t="n"/>
    </row>
    <row r="423">
      <c r="K423" s="93" t="n"/>
      <c r="L423" s="78" t="n"/>
      <c r="M423" s="78" t="n"/>
      <c r="N423" s="78" t="n"/>
    </row>
    <row r="424">
      <c r="K424" s="93" t="n"/>
      <c r="L424" s="78" t="n"/>
      <c r="M424" s="78" t="n"/>
      <c r="N424" s="78" t="n"/>
    </row>
    <row r="425">
      <c r="K425" s="93" t="n"/>
      <c r="L425" s="78" t="n"/>
      <c r="M425" s="78" t="n"/>
      <c r="N425" s="78" t="n"/>
    </row>
    <row r="426">
      <c r="K426" s="93" t="n"/>
      <c r="L426" s="78" t="n"/>
      <c r="M426" s="78" t="n"/>
      <c r="N426" s="78" t="n"/>
    </row>
    <row r="427">
      <c r="K427" s="93" t="n"/>
      <c r="L427" s="78" t="n"/>
      <c r="M427" s="78" t="n"/>
      <c r="N427" s="78" t="n"/>
    </row>
    <row r="428">
      <c r="K428" s="93" t="n"/>
      <c r="L428" s="78" t="n"/>
      <c r="M428" s="78" t="n"/>
      <c r="N428" s="78" t="n"/>
    </row>
    <row r="429">
      <c r="K429" s="93" t="n"/>
      <c r="L429" s="78" t="n"/>
      <c r="M429" s="78" t="n"/>
      <c r="N429" s="78" t="n"/>
    </row>
    <row r="430">
      <c r="K430" s="93" t="n"/>
      <c r="L430" s="78" t="n"/>
      <c r="M430" s="78" t="n"/>
      <c r="N430" s="78" t="n"/>
    </row>
    <row r="431">
      <c r="K431" s="93" t="n"/>
      <c r="L431" s="78" t="n"/>
      <c r="M431" s="78" t="n"/>
      <c r="N431" s="78" t="n"/>
    </row>
    <row r="432">
      <c r="K432" s="93" t="n"/>
      <c r="L432" s="78" t="n"/>
      <c r="M432" s="78" t="n"/>
      <c r="N432" s="78" t="n"/>
    </row>
    <row r="433">
      <c r="K433" s="93" t="n"/>
      <c r="L433" s="78" t="n"/>
      <c r="M433" s="78" t="n"/>
      <c r="N433" s="78" t="n"/>
    </row>
    <row r="434">
      <c r="K434" s="93" t="n"/>
      <c r="L434" s="78" t="n"/>
      <c r="M434" s="78" t="n"/>
      <c r="N434" s="78" t="n"/>
    </row>
    <row r="435">
      <c r="K435" s="93" t="n"/>
      <c r="L435" s="78" t="n"/>
      <c r="M435" s="78" t="n"/>
      <c r="N435" s="78" t="n"/>
    </row>
    <row r="436">
      <c r="K436" s="93" t="n"/>
      <c r="L436" s="78" t="n"/>
      <c r="M436" s="78" t="n"/>
      <c r="N436" s="78" t="n"/>
    </row>
    <row r="437">
      <c r="K437" s="93" t="n"/>
      <c r="L437" s="78" t="n"/>
      <c r="M437" s="78" t="n"/>
      <c r="N437" s="78" t="n"/>
    </row>
    <row r="438">
      <c r="K438" s="93" t="n"/>
      <c r="L438" s="78" t="n"/>
      <c r="M438" s="78" t="n"/>
      <c r="N438" s="78" t="n"/>
    </row>
    <row r="439">
      <c r="K439" s="93" t="n"/>
      <c r="L439" s="78" t="n"/>
      <c r="M439" s="78" t="n"/>
      <c r="N439" s="78" t="n"/>
    </row>
    <row r="440">
      <c r="K440" s="93" t="n"/>
      <c r="L440" s="78" t="n"/>
      <c r="M440" s="78" t="n"/>
      <c r="N440" s="78" t="n"/>
    </row>
    <row r="441">
      <c r="K441" s="93" t="n"/>
      <c r="L441" s="78" t="n"/>
      <c r="M441" s="78" t="n"/>
      <c r="N441" s="78" t="n"/>
    </row>
    <row r="442">
      <c r="K442" s="93" t="n"/>
      <c r="L442" s="78" t="n"/>
      <c r="M442" s="78" t="n"/>
      <c r="N442" s="78" t="n"/>
    </row>
    <row r="443">
      <c r="K443" s="93" t="n"/>
      <c r="L443" s="78" t="n"/>
      <c r="M443" s="78" t="n"/>
      <c r="N443" s="78" t="n"/>
    </row>
    <row r="444">
      <c r="K444" s="93" t="n"/>
      <c r="L444" s="78" t="n"/>
      <c r="M444" s="78" t="n"/>
      <c r="N444" s="78" t="n"/>
    </row>
    <row r="445">
      <c r="K445" s="93" t="n"/>
      <c r="L445" s="78" t="n"/>
      <c r="M445" s="78" t="n"/>
      <c r="N445" s="78" t="n"/>
    </row>
    <row r="446">
      <c r="K446" s="93" t="n"/>
      <c r="L446" s="78" t="n"/>
      <c r="M446" s="78" t="n"/>
      <c r="N446" s="78" t="n"/>
    </row>
    <row r="447">
      <c r="K447" s="93" t="n"/>
      <c r="L447" s="78" t="n"/>
      <c r="M447" s="78" t="n"/>
      <c r="N447" s="78" t="n"/>
    </row>
    <row r="448">
      <c r="K448" s="93" t="n"/>
      <c r="L448" s="78" t="n"/>
      <c r="M448" s="78" t="n"/>
      <c r="N448" s="78" t="n"/>
    </row>
    <row r="449">
      <c r="K449" s="93" t="n"/>
      <c r="L449" s="78" t="n"/>
      <c r="M449" s="78" t="n"/>
      <c r="N449" s="78" t="n"/>
    </row>
    <row r="450">
      <c r="K450" s="93" t="n"/>
      <c r="L450" s="78" t="n"/>
      <c r="M450" s="78" t="n"/>
      <c r="N450" s="78" t="n"/>
    </row>
    <row r="451">
      <c r="K451" s="93" t="n"/>
      <c r="L451" s="78" t="n"/>
      <c r="M451" s="78" t="n"/>
      <c r="N451" s="78" t="n"/>
    </row>
    <row r="452">
      <c r="K452" s="93" t="n"/>
      <c r="L452" s="78" t="n"/>
      <c r="M452" s="78" t="n"/>
      <c r="N452" s="78" t="n"/>
    </row>
    <row r="453">
      <c r="K453" s="93" t="n"/>
      <c r="L453" s="78" t="n"/>
      <c r="M453" s="78" t="n"/>
      <c r="N453" s="78" t="n"/>
    </row>
    <row r="454">
      <c r="K454" s="93" t="n"/>
      <c r="L454" s="78" t="n"/>
      <c r="M454" s="78" t="n"/>
      <c r="N454" s="78" t="n"/>
    </row>
    <row r="455">
      <c r="K455" s="93" t="n"/>
      <c r="L455" s="78" t="n"/>
      <c r="M455" s="78" t="n"/>
      <c r="N455" s="78" t="n"/>
    </row>
    <row r="456">
      <c r="K456" s="93" t="n"/>
      <c r="L456" s="78" t="n"/>
      <c r="M456" s="78" t="n"/>
      <c r="N456" s="78" t="n"/>
    </row>
    <row r="457">
      <c r="K457" s="93" t="n"/>
      <c r="L457" s="78" t="n"/>
      <c r="M457" s="78" t="n"/>
      <c r="N457" s="78" t="n"/>
    </row>
    <row r="458">
      <c r="K458" s="93" t="n"/>
      <c r="L458" s="78" t="n"/>
      <c r="M458" s="78" t="n"/>
      <c r="N458" s="78" t="n"/>
    </row>
    <row r="459">
      <c r="K459" s="93" t="n"/>
      <c r="L459" s="78" t="n"/>
      <c r="M459" s="78" t="n"/>
      <c r="N459" s="78" t="n"/>
    </row>
    <row r="460">
      <c r="K460" s="93" t="n"/>
      <c r="L460" s="78" t="n"/>
      <c r="M460" s="78" t="n"/>
      <c r="N460" s="78" t="n"/>
    </row>
    <row r="461">
      <c r="K461" s="93" t="n"/>
      <c r="L461" s="78" t="n"/>
      <c r="M461" s="78" t="n"/>
      <c r="N461" s="78" t="n"/>
    </row>
    <row r="462">
      <c r="K462" s="93" t="n"/>
      <c r="L462" s="78" t="n"/>
      <c r="M462" s="78" t="n"/>
      <c r="N462" s="78" t="n"/>
    </row>
    <row r="463">
      <c r="K463" s="93" t="n"/>
      <c r="L463" s="78" t="n"/>
      <c r="M463" s="78" t="n"/>
      <c r="N463" s="78" t="n"/>
    </row>
    <row r="464">
      <c r="K464" s="93" t="n"/>
      <c r="L464" s="78" t="n"/>
      <c r="M464" s="78" t="n"/>
      <c r="N464" s="78" t="n"/>
    </row>
    <row r="465">
      <c r="K465" s="93" t="n"/>
      <c r="L465" s="78" t="n"/>
      <c r="M465" s="78" t="n"/>
      <c r="N465" s="78" t="n"/>
    </row>
    <row r="466">
      <c r="K466" s="93" t="n"/>
      <c r="L466" s="78" t="n"/>
      <c r="M466" s="78" t="n"/>
      <c r="N466" s="78" t="n"/>
    </row>
    <row r="467">
      <c r="K467" s="93" t="n"/>
      <c r="L467" s="78" t="n"/>
      <c r="M467" s="78" t="n"/>
      <c r="N467" s="78" t="n"/>
    </row>
    <row r="468">
      <c r="K468" s="93" t="n"/>
      <c r="L468" s="78" t="n"/>
      <c r="M468" s="78" t="n"/>
      <c r="N468" s="78" t="n"/>
    </row>
    <row r="469">
      <c r="K469" s="93" t="n"/>
      <c r="L469" s="78" t="n"/>
      <c r="M469" s="78" t="n"/>
      <c r="N469" s="78" t="n"/>
    </row>
    <row r="470">
      <c r="K470" s="93" t="n"/>
      <c r="L470" s="78" t="n"/>
      <c r="M470" s="78" t="n"/>
      <c r="N470" s="78" t="n"/>
    </row>
    <row r="471">
      <c r="K471" s="93" t="n"/>
      <c r="L471" s="78" t="n"/>
      <c r="M471" s="78" t="n"/>
      <c r="N471" s="78" t="n"/>
    </row>
    <row r="472">
      <c r="K472" s="93" t="n"/>
      <c r="L472" s="78" t="n"/>
      <c r="M472" s="78" t="n"/>
      <c r="N472" s="78" t="n"/>
    </row>
    <row r="473">
      <c r="K473" s="93" t="n"/>
      <c r="L473" s="78" t="n"/>
      <c r="M473" s="78" t="n"/>
      <c r="N473" s="78" t="n"/>
    </row>
    <row r="474">
      <c r="K474" s="93" t="n"/>
      <c r="L474" s="78" t="n"/>
      <c r="M474" s="78" t="n"/>
      <c r="N474" s="78" t="n"/>
    </row>
    <row r="475">
      <c r="K475" s="93" t="n"/>
      <c r="L475" s="78" t="n"/>
      <c r="M475" s="78" t="n"/>
      <c r="N475" s="78" t="n"/>
    </row>
    <row r="476">
      <c r="K476" s="93" t="n"/>
      <c r="L476" s="78" t="n"/>
      <c r="M476" s="78" t="n"/>
      <c r="N476" s="78" t="n"/>
    </row>
    <row r="477">
      <c r="K477" s="93" t="n"/>
      <c r="L477" s="78" t="n"/>
      <c r="M477" s="78" t="n"/>
      <c r="N477" s="78" t="n"/>
    </row>
    <row r="478">
      <c r="K478" s="93" t="n"/>
      <c r="L478" s="78" t="n"/>
      <c r="M478" s="78" t="n"/>
      <c r="N478" s="78" t="n"/>
    </row>
    <row r="479">
      <c r="K479" s="93" t="n"/>
      <c r="L479" s="78" t="n"/>
      <c r="M479" s="78" t="n"/>
      <c r="N479" s="78" t="n"/>
    </row>
    <row r="480">
      <c r="K480" s="93" t="n"/>
      <c r="L480" s="78" t="n"/>
      <c r="M480" s="78" t="n"/>
      <c r="N480" s="78" t="n"/>
    </row>
    <row r="481">
      <c r="K481" s="93" t="n"/>
      <c r="L481" s="78" t="n"/>
      <c r="M481" s="78" t="n"/>
      <c r="N481" s="78" t="n"/>
    </row>
    <row r="482">
      <c r="K482" s="93" t="n"/>
      <c r="L482" s="78" t="n"/>
      <c r="M482" s="78" t="n"/>
      <c r="N482" s="78" t="n"/>
    </row>
    <row r="483">
      <c r="K483" s="93" t="n"/>
      <c r="L483" s="78" t="n"/>
      <c r="M483" s="78" t="n"/>
      <c r="N483" s="78" t="n"/>
    </row>
    <row r="484">
      <c r="K484" s="93" t="n"/>
      <c r="L484" s="78" t="n"/>
      <c r="M484" s="78" t="n"/>
      <c r="N484" s="78" t="n"/>
    </row>
    <row r="485">
      <c r="K485" s="93" t="n"/>
      <c r="L485" s="78" t="n"/>
      <c r="M485" s="78" t="n"/>
      <c r="N485" s="78" t="n"/>
    </row>
    <row r="486">
      <c r="K486" s="93" t="n"/>
      <c r="L486" s="78" t="n"/>
      <c r="M486" s="78" t="n"/>
      <c r="N486" s="78" t="n"/>
    </row>
    <row r="487">
      <c r="K487" s="93" t="n"/>
      <c r="L487" s="78" t="n"/>
      <c r="M487" s="78" t="n"/>
      <c r="N487" s="78" t="n"/>
    </row>
    <row r="488">
      <c r="K488" s="93" t="n"/>
      <c r="L488" s="78" t="n"/>
      <c r="M488" s="78" t="n"/>
      <c r="N488" s="78" t="n"/>
    </row>
    <row r="489">
      <c r="K489" s="93" t="n"/>
      <c r="L489" s="78" t="n"/>
      <c r="M489" s="78" t="n"/>
      <c r="N489" s="78" t="n"/>
    </row>
    <row r="490">
      <c r="K490" s="93" t="n"/>
      <c r="L490" s="78" t="n"/>
      <c r="M490" s="78" t="n"/>
      <c r="N490" s="78" t="n"/>
    </row>
    <row r="491">
      <c r="K491" s="93" t="n"/>
      <c r="L491" s="78" t="n"/>
      <c r="M491" s="78" t="n"/>
      <c r="N491" s="78" t="n"/>
    </row>
    <row r="492">
      <c r="K492" s="93" t="n"/>
      <c r="L492" s="78" t="n"/>
      <c r="M492" s="78" t="n"/>
      <c r="N492" s="78" t="n"/>
    </row>
    <row r="493">
      <c r="K493" s="93" t="n"/>
      <c r="L493" s="78" t="n"/>
      <c r="M493" s="78" t="n"/>
      <c r="N493" s="78" t="n"/>
    </row>
    <row r="494">
      <c r="K494" s="93" t="n"/>
      <c r="L494" s="78" t="n"/>
      <c r="M494" s="78" t="n"/>
      <c r="N494" s="78" t="n"/>
    </row>
    <row r="495">
      <c r="K495" s="93" t="n"/>
      <c r="L495" s="78" t="n"/>
      <c r="M495" s="78" t="n"/>
      <c r="N495" s="78" t="n"/>
    </row>
    <row r="496">
      <c r="K496" s="93" t="n"/>
      <c r="L496" s="78" t="n"/>
      <c r="M496" s="78" t="n"/>
      <c r="N496" s="78" t="n"/>
    </row>
    <row r="497">
      <c r="K497" s="93" t="n"/>
      <c r="L497" s="78" t="n"/>
      <c r="M497" s="78" t="n"/>
      <c r="N497" s="78" t="n"/>
    </row>
    <row r="498">
      <c r="K498" s="93" t="n"/>
      <c r="L498" s="78" t="n"/>
      <c r="M498" s="78" t="n"/>
      <c r="N498" s="78" t="n"/>
    </row>
    <row r="499">
      <c r="K499" s="93" t="n"/>
      <c r="L499" s="78" t="n"/>
      <c r="M499" s="78" t="n"/>
      <c r="N499" s="78" t="n"/>
    </row>
    <row r="500">
      <c r="K500" s="93" t="n"/>
      <c r="L500" s="78" t="n"/>
      <c r="M500" s="78" t="n"/>
      <c r="N500" s="78" t="n"/>
    </row>
    <row r="501">
      <c r="K501" s="93" t="n"/>
      <c r="L501" s="78" t="n"/>
      <c r="M501" s="78" t="n"/>
      <c r="N501" s="78" t="n"/>
    </row>
    <row r="502">
      <c r="K502" s="93" t="n"/>
      <c r="L502" s="78" t="n"/>
      <c r="M502" s="78" t="n"/>
      <c r="N502" s="78" t="n"/>
    </row>
    <row r="503">
      <c r="K503" s="93" t="n"/>
      <c r="L503" s="78" t="n"/>
      <c r="M503" s="78" t="n"/>
      <c r="N503" s="78" t="n"/>
    </row>
    <row r="504">
      <c r="K504" s="93" t="n"/>
      <c r="L504" s="78" t="n"/>
      <c r="M504" s="78" t="n"/>
      <c r="N504" s="78" t="n"/>
    </row>
    <row r="505">
      <c r="K505" s="93" t="n"/>
      <c r="L505" s="78" t="n"/>
      <c r="M505" s="78" t="n"/>
      <c r="N505" s="78" t="n"/>
    </row>
    <row r="506">
      <c r="K506" s="93" t="n"/>
      <c r="L506" s="78" t="n"/>
      <c r="M506" s="78" t="n"/>
      <c r="N506" s="78" t="n"/>
    </row>
    <row r="507">
      <c r="K507" s="93" t="n"/>
      <c r="L507" s="78" t="n"/>
      <c r="M507" s="78" t="n"/>
      <c r="N507" s="78" t="n"/>
    </row>
    <row r="508">
      <c r="K508" s="93" t="n"/>
      <c r="L508" s="78" t="n"/>
      <c r="M508" s="78" t="n"/>
      <c r="N508" s="78" t="n"/>
    </row>
    <row r="509">
      <c r="K509" s="93" t="n"/>
      <c r="L509" s="78" t="n"/>
      <c r="M509" s="78" t="n"/>
      <c r="N509" s="78" t="n"/>
    </row>
    <row r="510">
      <c r="K510" s="93" t="n"/>
      <c r="L510" s="78" t="n"/>
      <c r="M510" s="78" t="n"/>
      <c r="N510" s="78" t="n"/>
    </row>
    <row r="511">
      <c r="K511" s="93" t="n"/>
      <c r="L511" s="78" t="n"/>
      <c r="M511" s="78" t="n"/>
      <c r="N511" s="78" t="n"/>
    </row>
    <row r="512">
      <c r="K512" s="93" t="n"/>
      <c r="L512" s="78" t="n"/>
      <c r="M512" s="78" t="n"/>
      <c r="N512" s="78" t="n"/>
    </row>
    <row r="513">
      <c r="K513" s="93" t="n"/>
      <c r="L513" s="78" t="n"/>
      <c r="M513" s="78" t="n"/>
      <c r="N513" s="78" t="n"/>
    </row>
    <row r="514">
      <c r="K514" s="93" t="n"/>
      <c r="L514" s="78" t="n"/>
      <c r="M514" s="78" t="n"/>
      <c r="N514" s="78" t="n"/>
    </row>
    <row r="515">
      <c r="K515" s="93" t="n"/>
      <c r="L515" s="78" t="n"/>
      <c r="M515" s="78" t="n"/>
      <c r="N515" s="78" t="n"/>
    </row>
    <row r="516">
      <c r="K516" s="93" t="n"/>
      <c r="L516" s="78" t="n"/>
      <c r="M516" s="78" t="n"/>
      <c r="N516" s="78" t="n"/>
    </row>
    <row r="517">
      <c r="K517" s="93" t="n"/>
      <c r="L517" s="78" t="n"/>
      <c r="M517" s="78" t="n"/>
      <c r="N517" s="78" t="n"/>
    </row>
    <row r="518">
      <c r="K518" s="93" t="n"/>
      <c r="L518" s="78" t="n"/>
      <c r="M518" s="78" t="n"/>
      <c r="N518" s="78" t="n"/>
    </row>
    <row r="519">
      <c r="K519" s="93" t="n"/>
      <c r="L519" s="78" t="n"/>
      <c r="M519" s="78" t="n"/>
      <c r="N519" s="78" t="n"/>
    </row>
    <row r="520">
      <c r="K520" s="93" t="n"/>
      <c r="L520" s="78" t="n"/>
      <c r="M520" s="78" t="n"/>
      <c r="N520" s="78" t="n"/>
    </row>
    <row r="521">
      <c r="K521" s="93" t="n"/>
      <c r="L521" s="78" t="n"/>
      <c r="M521" s="78" t="n"/>
      <c r="N521" s="78" t="n"/>
    </row>
    <row r="522">
      <c r="K522" s="93" t="n"/>
      <c r="L522" s="78" t="n"/>
      <c r="M522" s="78" t="n"/>
      <c r="N522" s="78" t="n"/>
    </row>
    <row r="523">
      <c r="K523" s="93" t="n"/>
      <c r="L523" s="78" t="n"/>
      <c r="M523" s="78" t="n"/>
      <c r="N523" s="78" t="n"/>
    </row>
    <row r="524">
      <c r="K524" s="93" t="n"/>
      <c r="L524" s="78" t="n"/>
      <c r="M524" s="78" t="n"/>
      <c r="N524" s="78" t="n"/>
    </row>
    <row r="525">
      <c r="K525" s="93" t="n"/>
      <c r="L525" s="78" t="n"/>
      <c r="M525" s="78" t="n"/>
      <c r="N525" s="78" t="n"/>
    </row>
    <row r="526">
      <c r="K526" s="93" t="n"/>
      <c r="L526" s="78" t="n"/>
      <c r="M526" s="78" t="n"/>
      <c r="N526" s="78" t="n"/>
    </row>
    <row r="527">
      <c r="K527" s="93" t="n"/>
      <c r="L527" s="78" t="n"/>
      <c r="M527" s="78" t="n"/>
      <c r="N527" s="78" t="n"/>
    </row>
    <row r="528">
      <c r="K528" s="93" t="n"/>
      <c r="L528" s="78" t="n"/>
      <c r="M528" s="78" t="n"/>
      <c r="N528" s="78" t="n"/>
    </row>
    <row r="529">
      <c r="K529" s="93" t="n"/>
      <c r="L529" s="78" t="n"/>
      <c r="M529" s="78" t="n"/>
      <c r="N529" s="78" t="n"/>
    </row>
    <row r="530">
      <c r="K530" s="93" t="n"/>
      <c r="L530" s="78" t="n"/>
      <c r="M530" s="78" t="n"/>
      <c r="N530" s="78" t="n"/>
    </row>
    <row r="531">
      <c r="K531" s="93" t="n"/>
      <c r="L531" s="78" t="n"/>
      <c r="M531" s="78" t="n"/>
      <c r="N531" s="78" t="n"/>
    </row>
    <row r="532">
      <c r="K532" s="93" t="n"/>
      <c r="L532" s="78" t="n"/>
      <c r="M532" s="78" t="n"/>
      <c r="N532" s="78" t="n"/>
    </row>
    <row r="533">
      <c r="K533" s="93" t="n"/>
      <c r="L533" s="78" t="n"/>
      <c r="M533" s="78" t="n"/>
      <c r="N533" s="78" t="n"/>
    </row>
    <row r="534">
      <c r="K534" s="93" t="n"/>
      <c r="L534" s="78" t="n"/>
      <c r="M534" s="78" t="n"/>
      <c r="N534" s="78" t="n"/>
    </row>
    <row r="535">
      <c r="K535" s="93" t="n"/>
      <c r="L535" s="78" t="n"/>
      <c r="M535" s="78" t="n"/>
      <c r="N535" s="78" t="n"/>
    </row>
    <row r="536">
      <c r="K536" s="93" t="n"/>
      <c r="L536" s="78" t="n"/>
      <c r="M536" s="78" t="n"/>
      <c r="N536" s="78" t="n"/>
    </row>
    <row r="537">
      <c r="K537" s="93" t="n"/>
      <c r="L537" s="78" t="n"/>
      <c r="M537" s="78" t="n"/>
      <c r="N537" s="78" t="n"/>
    </row>
    <row r="538">
      <c r="K538" s="93" t="n"/>
      <c r="L538" s="78" t="n"/>
      <c r="M538" s="78" t="n"/>
      <c r="N538" s="78" t="n"/>
    </row>
    <row r="539">
      <c r="K539" s="93" t="n"/>
      <c r="L539" s="78" t="n"/>
      <c r="M539" s="78" t="n"/>
      <c r="N539" s="78" t="n"/>
    </row>
    <row r="540">
      <c r="K540" s="93" t="n"/>
      <c r="L540" s="78" t="n"/>
      <c r="M540" s="78" t="n"/>
      <c r="N540" s="78" t="n"/>
    </row>
    <row r="541">
      <c r="K541" s="93" t="n"/>
      <c r="L541" s="78" t="n"/>
      <c r="M541" s="78" t="n"/>
      <c r="N541" s="78" t="n"/>
    </row>
    <row r="542">
      <c r="K542" s="93" t="n"/>
      <c r="L542" s="78" t="n"/>
      <c r="M542" s="78" t="n"/>
      <c r="N542" s="78" t="n"/>
    </row>
    <row r="543">
      <c r="K543" s="93" t="n"/>
      <c r="L543" s="78" t="n"/>
      <c r="M543" s="78" t="n"/>
      <c r="N543" s="78" t="n"/>
    </row>
    <row r="544">
      <c r="K544" s="93" t="n"/>
      <c r="L544" s="78" t="n"/>
      <c r="M544" s="78" t="n"/>
      <c r="N544" s="78" t="n"/>
    </row>
    <row r="545">
      <c r="K545" s="93" t="n"/>
      <c r="L545" s="78" t="n"/>
      <c r="M545" s="78" t="n"/>
      <c r="N545" s="78" t="n"/>
    </row>
    <row r="546">
      <c r="K546" s="93" t="n"/>
      <c r="L546" s="78" t="n"/>
      <c r="M546" s="78" t="n"/>
      <c r="N546" s="78" t="n"/>
    </row>
    <row r="547">
      <c r="K547" s="93" t="n"/>
      <c r="L547" s="78" t="n"/>
      <c r="M547" s="78" t="n"/>
      <c r="N547" s="78" t="n"/>
    </row>
    <row r="548">
      <c r="K548" s="93" t="n"/>
      <c r="L548" s="78" t="n"/>
      <c r="M548" s="78" t="n"/>
      <c r="N548" s="78" t="n"/>
    </row>
    <row r="549">
      <c r="K549" s="93" t="n"/>
      <c r="L549" s="78" t="n"/>
      <c r="M549" s="78" t="n"/>
      <c r="N549" s="78" t="n"/>
    </row>
    <row r="550">
      <c r="K550" s="93" t="n"/>
      <c r="L550" s="78" t="n"/>
      <c r="M550" s="78" t="n"/>
      <c r="N550" s="78" t="n"/>
    </row>
    <row r="551">
      <c r="K551" s="93" t="n"/>
      <c r="L551" s="78" t="n"/>
      <c r="M551" s="78" t="n"/>
      <c r="N551" s="78" t="n"/>
    </row>
    <row r="552">
      <c r="K552" s="93" t="n"/>
      <c r="L552" s="78" t="n"/>
      <c r="M552" s="78" t="n"/>
      <c r="N552" s="78" t="n"/>
    </row>
    <row r="553">
      <c r="K553" s="93" t="n"/>
      <c r="L553" s="78" t="n"/>
      <c r="M553" s="78" t="n"/>
      <c r="N553" s="78" t="n"/>
    </row>
    <row r="554">
      <c r="K554" s="93" t="n"/>
      <c r="L554" s="78" t="n"/>
      <c r="M554" s="78" t="n"/>
      <c r="N554" s="78" t="n"/>
    </row>
    <row r="555">
      <c r="K555" s="93" t="n"/>
      <c r="L555" s="78" t="n"/>
      <c r="M555" s="78" t="n"/>
      <c r="N555" s="78" t="n"/>
    </row>
    <row r="556">
      <c r="K556" s="93" t="n"/>
      <c r="L556" s="78" t="n"/>
      <c r="M556" s="78" t="n"/>
      <c r="N556" s="78" t="n"/>
    </row>
    <row r="557">
      <c r="K557" s="93" t="n"/>
      <c r="L557" s="78" t="n"/>
      <c r="M557" s="78" t="n"/>
      <c r="N557" s="78" t="n"/>
    </row>
    <row r="558">
      <c r="K558" s="93" t="n"/>
      <c r="L558" s="78" t="n"/>
      <c r="M558" s="78" t="n"/>
      <c r="N558" s="78" t="n"/>
    </row>
    <row r="559">
      <c r="K559" s="93" t="n"/>
      <c r="L559" s="78" t="n"/>
      <c r="M559" s="78" t="n"/>
      <c r="N559" s="78" t="n"/>
    </row>
    <row r="560">
      <c r="K560" s="93" t="n"/>
      <c r="L560" s="78" t="n"/>
      <c r="M560" s="78" t="n"/>
      <c r="N560" s="78" t="n"/>
    </row>
    <row r="561">
      <c r="K561" s="93" t="n"/>
      <c r="L561" s="78" t="n"/>
      <c r="M561" s="78" t="n"/>
      <c r="N561" s="78" t="n"/>
    </row>
    <row r="562">
      <c r="K562" s="93" t="n"/>
      <c r="L562" s="78" t="n"/>
      <c r="M562" s="78" t="n"/>
      <c r="N562" s="78" t="n"/>
    </row>
    <row r="563">
      <c r="K563" s="93" t="n"/>
      <c r="L563" s="78" t="n"/>
      <c r="M563" s="78" t="n"/>
      <c r="N563" s="78" t="n"/>
    </row>
    <row r="564">
      <c r="K564" s="93" t="n"/>
      <c r="L564" s="78" t="n"/>
      <c r="M564" s="78" t="n"/>
      <c r="N564" s="78" t="n"/>
    </row>
    <row r="565">
      <c r="K565" s="93" t="n"/>
      <c r="L565" s="78" t="n"/>
      <c r="M565" s="78" t="n"/>
      <c r="N565" s="78" t="n"/>
    </row>
    <row r="566">
      <c r="K566" s="93" t="n"/>
      <c r="L566" s="78" t="n"/>
      <c r="M566" s="78" t="n"/>
      <c r="N566" s="78" t="n"/>
    </row>
    <row r="567">
      <c r="K567" s="93" t="n"/>
      <c r="L567" s="78" t="n"/>
      <c r="M567" s="78" t="n"/>
      <c r="N567" s="78" t="n"/>
    </row>
    <row r="568">
      <c r="K568" s="93" t="n"/>
      <c r="L568" s="78" t="n"/>
      <c r="M568" s="78" t="n"/>
      <c r="N568" s="78" t="n"/>
    </row>
    <row r="569">
      <c r="K569" s="93" t="n"/>
      <c r="L569" s="78" t="n"/>
      <c r="M569" s="78" t="n"/>
      <c r="N569" s="78" t="n"/>
    </row>
    <row r="570">
      <c r="K570" s="93" t="n"/>
      <c r="L570" s="78" t="n"/>
      <c r="M570" s="78" t="n"/>
      <c r="N570" s="78" t="n"/>
    </row>
    <row r="571">
      <c r="K571" s="93" t="n"/>
      <c r="L571" s="78" t="n"/>
      <c r="M571" s="78" t="n"/>
      <c r="N571" s="78" t="n"/>
    </row>
    <row r="572">
      <c r="K572" s="93" t="n"/>
      <c r="L572" s="78" t="n"/>
      <c r="M572" s="78" t="n"/>
      <c r="N572" s="78" t="n"/>
    </row>
    <row r="573">
      <c r="K573" s="93" t="n"/>
      <c r="L573" s="78" t="n"/>
      <c r="M573" s="78" t="n"/>
      <c r="N573" s="78" t="n"/>
    </row>
    <row r="574">
      <c r="K574" s="93" t="n"/>
      <c r="L574" s="78" t="n"/>
      <c r="M574" s="78" t="n"/>
      <c r="N574" s="78" t="n"/>
    </row>
    <row r="575">
      <c r="K575" s="93" t="n"/>
      <c r="L575" s="78" t="n"/>
      <c r="M575" s="78" t="n"/>
      <c r="N575" s="78" t="n"/>
    </row>
    <row r="576">
      <c r="K576" s="93" t="n"/>
      <c r="L576" s="78" t="n"/>
      <c r="M576" s="78" t="n"/>
      <c r="N576" s="78" t="n"/>
    </row>
    <row r="577">
      <c r="K577" s="93" t="n"/>
      <c r="L577" s="78" t="n"/>
      <c r="M577" s="78" t="n"/>
      <c r="N577" s="78" t="n"/>
    </row>
    <row r="578">
      <c r="K578" s="93" t="n"/>
      <c r="L578" s="78" t="n"/>
      <c r="M578" s="78" t="n"/>
      <c r="N578" s="78" t="n"/>
    </row>
    <row r="579">
      <c r="K579" s="93" t="n"/>
      <c r="L579" s="78" t="n"/>
      <c r="M579" s="78" t="n"/>
      <c r="N579" s="78" t="n"/>
    </row>
    <row r="580">
      <c r="K580" s="93" t="n"/>
      <c r="L580" s="78" t="n"/>
      <c r="M580" s="78" t="n"/>
      <c r="N580" s="78" t="n"/>
    </row>
    <row r="581">
      <c r="K581" s="93" t="n"/>
      <c r="L581" s="78" t="n"/>
      <c r="M581" s="78" t="n"/>
      <c r="N581" s="78" t="n"/>
    </row>
    <row r="582">
      <c r="K582" s="93" t="n"/>
      <c r="L582" s="78" t="n"/>
      <c r="M582" s="78" t="n"/>
      <c r="N582" s="78" t="n"/>
    </row>
    <row r="583">
      <c r="K583" s="93" t="n"/>
      <c r="L583" s="78" t="n"/>
      <c r="M583" s="78" t="n"/>
      <c r="N583" s="78" t="n"/>
    </row>
    <row r="584">
      <c r="K584" s="93" t="n"/>
      <c r="L584" s="78" t="n"/>
      <c r="M584" s="78" t="n"/>
      <c r="N584" s="78" t="n"/>
    </row>
    <row r="585">
      <c r="K585" s="93" t="n"/>
      <c r="L585" s="78" t="n"/>
      <c r="M585" s="78" t="n"/>
      <c r="N585" s="78" t="n"/>
    </row>
    <row r="586">
      <c r="K586" s="93" t="n"/>
      <c r="L586" s="78" t="n"/>
      <c r="M586" s="78" t="n"/>
      <c r="N586" s="78" t="n"/>
    </row>
    <row r="587">
      <c r="K587" s="93" t="n"/>
      <c r="L587" s="78" t="n"/>
      <c r="M587" s="78" t="n"/>
      <c r="N587" s="78" t="n"/>
    </row>
    <row r="588">
      <c r="K588" s="93" t="n"/>
      <c r="L588" s="78" t="n"/>
      <c r="M588" s="78" t="n"/>
      <c r="N588" s="78" t="n"/>
    </row>
    <row r="589">
      <c r="K589" s="93" t="n"/>
      <c r="L589" s="78" t="n"/>
      <c r="M589" s="78" t="n"/>
      <c r="N589" s="78" t="n"/>
    </row>
    <row r="590">
      <c r="K590" s="93" t="n"/>
      <c r="L590" s="78" t="n"/>
      <c r="M590" s="78" t="n"/>
      <c r="N590" s="78" t="n"/>
    </row>
    <row r="591">
      <c r="K591" s="93" t="n"/>
      <c r="L591" s="78" t="n"/>
      <c r="M591" s="78" t="n"/>
      <c r="N591" s="78" t="n"/>
    </row>
    <row r="592">
      <c r="K592" s="93" t="n"/>
      <c r="L592" s="78" t="n"/>
      <c r="M592" s="78" t="n"/>
      <c r="N592" s="78" t="n"/>
    </row>
    <row r="593">
      <c r="K593" s="93" t="n"/>
      <c r="L593" s="78" t="n"/>
      <c r="M593" s="78" t="n"/>
      <c r="N593" s="78" t="n"/>
    </row>
    <row r="594">
      <c r="K594" s="93" t="n"/>
      <c r="L594" s="78" t="n"/>
      <c r="M594" s="78" t="n"/>
      <c r="N594" s="78" t="n"/>
    </row>
    <row r="595">
      <c r="K595" s="93" t="n"/>
      <c r="L595" s="78" t="n"/>
      <c r="M595" s="78" t="n"/>
      <c r="N595" s="78" t="n"/>
    </row>
    <row r="596">
      <c r="K596" s="93" t="n"/>
      <c r="L596" s="78" t="n"/>
      <c r="M596" s="78" t="n"/>
      <c r="N596" s="78" t="n"/>
    </row>
    <row r="597">
      <c r="K597" s="93" t="n"/>
      <c r="L597" s="78" t="n"/>
      <c r="M597" s="78" t="n"/>
      <c r="N597" s="78" t="n"/>
    </row>
    <row r="598">
      <c r="K598" s="93" t="n"/>
      <c r="L598" s="78" t="n"/>
      <c r="M598" s="78" t="n"/>
      <c r="N598" s="78" t="n"/>
    </row>
    <row r="599">
      <c r="K599" s="93" t="n"/>
      <c r="L599" s="78" t="n"/>
      <c r="M599" s="78" t="n"/>
      <c r="N599" s="78" t="n"/>
    </row>
    <row r="600">
      <c r="K600" s="93" t="n"/>
      <c r="L600" s="78" t="n"/>
      <c r="M600" s="78" t="n"/>
      <c r="N600" s="78" t="n"/>
    </row>
    <row r="601">
      <c r="K601" s="93" t="n"/>
      <c r="L601" s="78" t="n"/>
      <c r="M601" s="78" t="n"/>
      <c r="N601" s="78" t="n"/>
    </row>
    <row r="602">
      <c r="K602" s="93" t="n"/>
      <c r="L602" s="78" t="n"/>
      <c r="M602" s="78" t="n"/>
      <c r="N602" s="78" t="n"/>
    </row>
    <row r="603">
      <c r="K603" s="93" t="n"/>
      <c r="L603" s="78" t="n"/>
      <c r="M603" s="78" t="n"/>
      <c r="N603" s="78" t="n"/>
    </row>
    <row r="604">
      <c r="K604" s="93" t="n"/>
      <c r="L604" s="78" t="n"/>
      <c r="M604" s="78" t="n"/>
      <c r="N604" s="78" t="n"/>
    </row>
    <row r="605">
      <c r="K605" s="93" t="n"/>
      <c r="L605" s="78" t="n"/>
      <c r="M605" s="78" t="n"/>
      <c r="N605" s="78" t="n"/>
    </row>
    <row r="606">
      <c r="K606" s="93" t="n"/>
      <c r="L606" s="78" t="n"/>
      <c r="M606" s="78" t="n"/>
      <c r="N606" s="78" t="n"/>
    </row>
    <row r="607">
      <c r="K607" s="93" t="n"/>
      <c r="L607" s="78" t="n"/>
      <c r="M607" s="78" t="n"/>
      <c r="N607" s="78" t="n"/>
    </row>
    <row r="608">
      <c r="K608" s="93" t="n"/>
      <c r="L608" s="78" t="n"/>
      <c r="M608" s="78" t="n"/>
      <c r="N608" s="78" t="n"/>
    </row>
    <row r="609">
      <c r="K609" s="93" t="n"/>
      <c r="L609" s="78" t="n"/>
      <c r="M609" s="78" t="n"/>
      <c r="N609" s="78" t="n"/>
    </row>
    <row r="610">
      <c r="K610" s="93" t="n"/>
      <c r="L610" s="78" t="n"/>
      <c r="M610" s="78" t="n"/>
      <c r="N610" s="78" t="n"/>
    </row>
    <row r="611">
      <c r="K611" s="93" t="n"/>
      <c r="L611" s="78" t="n"/>
      <c r="M611" s="78" t="n"/>
      <c r="N611" s="78" t="n"/>
    </row>
    <row r="612">
      <c r="K612" s="93" t="n"/>
      <c r="L612" s="78" t="n"/>
      <c r="M612" s="78" t="n"/>
      <c r="N612" s="78" t="n"/>
    </row>
    <row r="613">
      <c r="K613" s="93" t="n"/>
      <c r="L613" s="78" t="n"/>
      <c r="M613" s="78" t="n"/>
      <c r="N613" s="78" t="n"/>
    </row>
    <row r="614">
      <c r="K614" s="93" t="n"/>
      <c r="L614" s="78" t="n"/>
      <c r="M614" s="78" t="n"/>
      <c r="N614" s="78" t="n"/>
    </row>
    <row r="615">
      <c r="K615" s="93" t="n"/>
      <c r="L615" s="78" t="n"/>
      <c r="M615" s="78" t="n"/>
      <c r="N615" s="78" t="n"/>
    </row>
    <row r="616">
      <c r="K616" s="93" t="n"/>
      <c r="L616" s="78" t="n"/>
      <c r="M616" s="78" t="n"/>
      <c r="N616" s="78" t="n"/>
    </row>
    <row r="617">
      <c r="K617" s="93" t="n"/>
      <c r="L617" s="78" t="n"/>
      <c r="M617" s="78" t="n"/>
      <c r="N617" s="78" t="n"/>
    </row>
    <row r="618">
      <c r="K618" s="93" t="n"/>
      <c r="L618" s="78" t="n"/>
      <c r="M618" s="78" t="n"/>
      <c r="N618" s="78" t="n"/>
    </row>
    <row r="619">
      <c r="K619" s="93" t="n"/>
      <c r="L619" s="78" t="n"/>
      <c r="M619" s="78" t="n"/>
      <c r="N619" s="78" t="n"/>
    </row>
    <row r="620">
      <c r="K620" s="93" t="n"/>
      <c r="L620" s="78" t="n"/>
      <c r="M620" s="78" t="n"/>
      <c r="N620" s="78" t="n"/>
    </row>
    <row r="621">
      <c r="K621" s="93" t="n"/>
      <c r="L621" s="78" t="n"/>
      <c r="M621" s="78" t="n"/>
      <c r="N621" s="78" t="n"/>
    </row>
    <row r="622">
      <c r="K622" s="93" t="n"/>
      <c r="L622" s="78" t="n"/>
      <c r="M622" s="78" t="n"/>
      <c r="N622" s="78" t="n"/>
    </row>
    <row r="623">
      <c r="K623" s="93" t="n"/>
      <c r="L623" s="78" t="n"/>
      <c r="M623" s="78" t="n"/>
      <c r="N623" s="78" t="n"/>
    </row>
    <row r="624">
      <c r="K624" s="93" t="n"/>
      <c r="L624" s="78" t="n"/>
      <c r="M624" s="78" t="n"/>
      <c r="N624" s="78" t="n"/>
    </row>
    <row r="625">
      <c r="K625" s="93" t="n"/>
      <c r="L625" s="78" t="n"/>
      <c r="M625" s="78" t="n"/>
      <c r="N625" s="78" t="n"/>
    </row>
    <row r="626">
      <c r="K626" s="93" t="n"/>
      <c r="L626" s="78" t="n"/>
      <c r="M626" s="78" t="n"/>
      <c r="N626" s="78" t="n"/>
    </row>
    <row r="627">
      <c r="K627" s="93" t="n"/>
      <c r="L627" s="78" t="n"/>
      <c r="M627" s="78" t="n"/>
      <c r="N627" s="78" t="n"/>
    </row>
    <row r="628">
      <c r="K628" s="93" t="n"/>
      <c r="L628" s="78" t="n"/>
      <c r="M628" s="78" t="n"/>
      <c r="N628" s="78" t="n"/>
    </row>
    <row r="629">
      <c r="K629" s="93" t="n"/>
      <c r="L629" s="78" t="n"/>
      <c r="M629" s="78" t="n"/>
      <c r="N629" s="78" t="n"/>
    </row>
    <row r="630">
      <c r="K630" s="93" t="n"/>
      <c r="L630" s="78" t="n"/>
      <c r="M630" s="78" t="n"/>
      <c r="N630" s="78" t="n"/>
    </row>
    <row r="631">
      <c r="K631" s="93" t="n"/>
      <c r="L631" s="78" t="n"/>
      <c r="M631" s="78" t="n"/>
      <c r="N631" s="78" t="n"/>
    </row>
    <row r="632">
      <c r="K632" s="93" t="n"/>
      <c r="L632" s="78" t="n"/>
      <c r="M632" s="78" t="n"/>
      <c r="N632" s="78" t="n"/>
    </row>
    <row r="633">
      <c r="K633" s="93" t="n"/>
      <c r="L633" s="78" t="n"/>
      <c r="M633" s="78" t="n"/>
      <c r="N633" s="78" t="n"/>
    </row>
    <row r="634">
      <c r="K634" s="93" t="n"/>
      <c r="L634" s="78" t="n"/>
      <c r="M634" s="78" t="n"/>
      <c r="N634" s="78" t="n"/>
    </row>
    <row r="635">
      <c r="K635" s="93" t="n"/>
      <c r="L635" s="78" t="n"/>
      <c r="M635" s="78" t="n"/>
      <c r="N635" s="78" t="n"/>
    </row>
    <row r="636">
      <c r="K636" s="93" t="n"/>
      <c r="L636" s="78" t="n"/>
      <c r="M636" s="78" t="n"/>
      <c r="N636" s="78" t="n"/>
    </row>
    <row r="637">
      <c r="K637" s="93" t="n"/>
      <c r="L637" s="78" t="n"/>
      <c r="M637" s="78" t="n"/>
      <c r="N637" s="78" t="n"/>
    </row>
    <row r="638">
      <c r="K638" s="93" t="n"/>
      <c r="L638" s="78" t="n"/>
      <c r="M638" s="78" t="n"/>
      <c r="N638" s="78" t="n"/>
    </row>
    <row r="639">
      <c r="K639" s="93" t="n"/>
      <c r="L639" s="78" t="n"/>
      <c r="M639" s="78" t="n"/>
      <c r="N639" s="78" t="n"/>
    </row>
    <row r="640">
      <c r="K640" s="93" t="n"/>
      <c r="L640" s="78" t="n"/>
      <c r="M640" s="78" t="n"/>
      <c r="N640" s="78" t="n"/>
    </row>
    <row r="641">
      <c r="K641" s="93" t="n"/>
      <c r="L641" s="78" t="n"/>
      <c r="M641" s="78" t="n"/>
      <c r="N641" s="78" t="n"/>
    </row>
    <row r="642">
      <c r="K642" s="93" t="n"/>
      <c r="L642" s="78" t="n"/>
      <c r="M642" s="78" t="n"/>
      <c r="N642" s="78" t="n"/>
    </row>
    <row r="643">
      <c r="K643" s="93" t="n"/>
      <c r="L643" s="78" t="n"/>
      <c r="M643" s="78" t="n"/>
      <c r="N643" s="78" t="n"/>
    </row>
    <row r="644">
      <c r="K644" s="93" t="n"/>
      <c r="L644" s="78" t="n"/>
      <c r="M644" s="78" t="n"/>
      <c r="N644" s="78" t="n"/>
    </row>
    <row r="645">
      <c r="K645" s="93" t="n"/>
      <c r="L645" s="78" t="n"/>
      <c r="M645" s="78" t="n"/>
      <c r="N645" s="78" t="n"/>
    </row>
    <row r="646">
      <c r="K646" s="93" t="n"/>
      <c r="L646" s="78" t="n"/>
      <c r="M646" s="78" t="n"/>
      <c r="N646" s="78" t="n"/>
    </row>
    <row r="647">
      <c r="K647" s="93" t="n"/>
      <c r="L647" s="78" t="n"/>
      <c r="M647" s="78" t="n"/>
      <c r="N647" s="78" t="n"/>
    </row>
    <row r="648">
      <c r="K648" s="93" t="n"/>
      <c r="L648" s="78" t="n"/>
      <c r="M648" s="78" t="n"/>
      <c r="N648" s="78" t="n"/>
    </row>
    <row r="649">
      <c r="K649" s="93" t="n"/>
      <c r="L649" s="78" t="n"/>
      <c r="M649" s="78" t="n"/>
      <c r="N649" s="78" t="n"/>
    </row>
    <row r="650">
      <c r="K650" s="93" t="n"/>
      <c r="L650" s="78" t="n"/>
      <c r="M650" s="78" t="n"/>
      <c r="N650" s="78" t="n"/>
    </row>
    <row r="651">
      <c r="K651" s="93" t="n"/>
      <c r="L651" s="78" t="n"/>
      <c r="M651" s="78" t="n"/>
      <c r="N651" s="78" t="n"/>
    </row>
    <row r="652">
      <c r="K652" s="93" t="n"/>
      <c r="L652" s="78" t="n"/>
      <c r="M652" s="78" t="n"/>
      <c r="N652" s="78" t="n"/>
    </row>
    <row r="653">
      <c r="K653" s="93" t="n"/>
      <c r="L653" s="78" t="n"/>
      <c r="M653" s="78" t="n"/>
      <c r="N653" s="78" t="n"/>
    </row>
    <row r="654">
      <c r="K654" s="93" t="n"/>
      <c r="L654" s="78" t="n"/>
      <c r="M654" s="78" t="n"/>
      <c r="N654" s="78" t="n"/>
    </row>
    <row r="655">
      <c r="K655" s="93" t="n"/>
      <c r="L655" s="78" t="n"/>
      <c r="M655" s="78" t="n"/>
      <c r="N655" s="78" t="n"/>
    </row>
    <row r="656">
      <c r="K656" s="93" t="n"/>
      <c r="L656" s="78" t="n"/>
      <c r="M656" s="78" t="n"/>
      <c r="N656" s="78" t="n"/>
    </row>
    <row r="657">
      <c r="K657" s="93" t="n"/>
      <c r="L657" s="78" t="n"/>
      <c r="M657" s="78" t="n"/>
      <c r="N657" s="78" t="n"/>
    </row>
    <row r="658">
      <c r="K658" s="93" t="n"/>
      <c r="L658" s="78" t="n"/>
      <c r="M658" s="78" t="n"/>
      <c r="N658" s="78" t="n"/>
    </row>
    <row r="659">
      <c r="K659" s="93" t="n"/>
      <c r="L659" s="78" t="n"/>
      <c r="M659" s="78" t="n"/>
      <c r="N659" s="78" t="n"/>
    </row>
    <row r="660">
      <c r="K660" s="93" t="n"/>
      <c r="L660" s="78" t="n"/>
      <c r="M660" s="78" t="n"/>
      <c r="N660" s="78" t="n"/>
    </row>
    <row r="661">
      <c r="K661" s="93" t="n"/>
      <c r="L661" s="78" t="n"/>
      <c r="M661" s="78" t="n"/>
      <c r="N661" s="78" t="n"/>
    </row>
    <row r="662">
      <c r="K662" s="93" t="n"/>
      <c r="L662" s="78" t="n"/>
      <c r="M662" s="78" t="n"/>
      <c r="N662" s="78" t="n"/>
    </row>
    <row r="663">
      <c r="K663" s="93" t="n"/>
      <c r="L663" s="78" t="n"/>
      <c r="M663" s="78" t="n"/>
      <c r="N663" s="78" t="n"/>
    </row>
    <row r="664">
      <c r="K664" s="93" t="n"/>
      <c r="L664" s="78" t="n"/>
      <c r="M664" s="78" t="n"/>
      <c r="N664" s="78" t="n"/>
    </row>
    <row r="665">
      <c r="K665" s="93" t="n"/>
      <c r="L665" s="78" t="n"/>
      <c r="M665" s="78" t="n"/>
      <c r="N665" s="78" t="n"/>
    </row>
    <row r="666">
      <c r="K666" s="93" t="n"/>
      <c r="L666" s="78" t="n"/>
      <c r="M666" s="78" t="n"/>
      <c r="N666" s="78" t="n"/>
    </row>
    <row r="667">
      <c r="K667" s="93" t="n"/>
      <c r="L667" s="78" t="n"/>
      <c r="M667" s="78" t="n"/>
      <c r="N667" s="78" t="n"/>
    </row>
    <row r="668">
      <c r="K668" s="93" t="n"/>
      <c r="L668" s="78" t="n"/>
      <c r="M668" s="78" t="n"/>
      <c r="N668" s="78" t="n"/>
    </row>
    <row r="669">
      <c r="K669" s="93" t="n"/>
      <c r="L669" s="78" t="n"/>
      <c r="M669" s="78" t="n"/>
      <c r="N669" s="78" t="n"/>
    </row>
    <row r="670">
      <c r="K670" s="93" t="n"/>
      <c r="L670" s="78" t="n"/>
      <c r="M670" s="78" t="n"/>
      <c r="N670" s="78" t="n"/>
    </row>
    <row r="671">
      <c r="K671" s="93" t="n"/>
      <c r="L671" s="78" t="n"/>
      <c r="M671" s="78" t="n"/>
      <c r="N671" s="78" t="n"/>
    </row>
    <row r="672">
      <c r="K672" s="93" t="n"/>
      <c r="L672" s="78" t="n"/>
      <c r="M672" s="78" t="n"/>
      <c r="N672" s="78" t="n"/>
    </row>
    <row r="673">
      <c r="K673" s="93" t="n"/>
      <c r="L673" s="78" t="n"/>
      <c r="M673" s="78" t="n"/>
      <c r="N673" s="78" t="n"/>
    </row>
    <row r="674">
      <c r="K674" s="93" t="n"/>
      <c r="L674" s="78" t="n"/>
      <c r="M674" s="78" t="n"/>
      <c r="N674" s="78" t="n"/>
    </row>
    <row r="675">
      <c r="K675" s="93" t="n"/>
      <c r="L675" s="78" t="n"/>
      <c r="M675" s="78" t="n"/>
      <c r="N675" s="78" t="n"/>
    </row>
    <row r="676">
      <c r="K676" s="93" t="n"/>
      <c r="L676" s="78" t="n"/>
      <c r="M676" s="78" t="n"/>
      <c r="N676" s="78" t="n"/>
    </row>
    <row r="677">
      <c r="K677" s="93" t="n"/>
      <c r="L677" s="78" t="n"/>
      <c r="M677" s="78" t="n"/>
      <c r="N677" s="78" t="n"/>
    </row>
    <row r="678">
      <c r="K678" s="93" t="n"/>
      <c r="L678" s="78" t="n"/>
      <c r="M678" s="78" t="n"/>
      <c r="N678" s="78" t="n"/>
    </row>
    <row r="679">
      <c r="K679" s="93" t="n"/>
      <c r="L679" s="78" t="n"/>
      <c r="M679" s="78" t="n"/>
      <c r="N679" s="78" t="n"/>
    </row>
    <row r="680">
      <c r="K680" s="93" t="n"/>
      <c r="L680" s="78" t="n"/>
      <c r="M680" s="78" t="n"/>
      <c r="N680" s="78" t="n"/>
    </row>
    <row r="681">
      <c r="K681" s="93" t="n"/>
      <c r="L681" s="78" t="n"/>
      <c r="M681" s="78" t="n"/>
      <c r="N681" s="78" t="n"/>
    </row>
    <row r="682">
      <c r="K682" s="93" t="n"/>
      <c r="L682" s="78" t="n"/>
      <c r="M682" s="78" t="n"/>
      <c r="N682" s="78" t="n"/>
    </row>
    <row r="683">
      <c r="K683" s="93" t="n"/>
      <c r="L683" s="78" t="n"/>
      <c r="M683" s="78" t="n"/>
      <c r="N683" s="78" t="n"/>
    </row>
    <row r="684">
      <c r="K684" s="93" t="n"/>
      <c r="L684" s="78" t="n"/>
      <c r="M684" s="78" t="n"/>
      <c r="N684" s="78" t="n"/>
    </row>
    <row r="685">
      <c r="K685" s="93" t="n"/>
      <c r="L685" s="78" t="n"/>
      <c r="M685" s="78" t="n"/>
      <c r="N685" s="78" t="n"/>
    </row>
    <row r="686">
      <c r="K686" s="93" t="n"/>
      <c r="L686" s="78" t="n"/>
      <c r="M686" s="78" t="n"/>
      <c r="N686" s="78" t="n"/>
    </row>
    <row r="687">
      <c r="K687" s="93" t="n"/>
      <c r="L687" s="78" t="n"/>
      <c r="M687" s="78" t="n"/>
      <c r="N687" s="78" t="n"/>
    </row>
    <row r="688">
      <c r="K688" s="93" t="n"/>
      <c r="L688" s="78" t="n"/>
      <c r="M688" s="78" t="n"/>
      <c r="N688" s="78" t="n"/>
    </row>
    <row r="689">
      <c r="K689" s="93" t="n"/>
      <c r="L689" s="78" t="n"/>
      <c r="M689" s="78" t="n"/>
      <c r="N689" s="78" t="n"/>
    </row>
    <row r="690">
      <c r="K690" s="93" t="n"/>
      <c r="L690" s="78" t="n"/>
      <c r="M690" s="78" t="n"/>
      <c r="N690" s="78" t="n"/>
    </row>
    <row r="691">
      <c r="K691" s="93" t="n"/>
      <c r="L691" s="78" t="n"/>
      <c r="M691" s="78" t="n"/>
      <c r="N691" s="78" t="n"/>
    </row>
    <row r="692">
      <c r="K692" s="93" t="n"/>
      <c r="L692" s="78" t="n"/>
      <c r="M692" s="78" t="n"/>
      <c r="N692" s="78" t="n"/>
    </row>
    <row r="693">
      <c r="K693" s="93" t="n"/>
      <c r="L693" s="78" t="n"/>
      <c r="M693" s="78" t="n"/>
      <c r="N693" s="78" t="n"/>
    </row>
    <row r="694">
      <c r="K694" s="93" t="n"/>
      <c r="L694" s="78" t="n"/>
      <c r="M694" s="78" t="n"/>
      <c r="N694" s="78" t="n"/>
    </row>
    <row r="695">
      <c r="K695" s="93" t="n"/>
      <c r="L695" s="78" t="n"/>
      <c r="M695" s="78" t="n"/>
      <c r="N695" s="78" t="n"/>
    </row>
    <row r="696">
      <c r="K696" s="93" t="n"/>
      <c r="L696" s="78" t="n"/>
      <c r="M696" s="78" t="n"/>
      <c r="N696" s="78" t="n"/>
    </row>
    <row r="697">
      <c r="K697" s="93" t="n"/>
      <c r="L697" s="78" t="n"/>
      <c r="M697" s="78" t="n"/>
      <c r="N697" s="78" t="n"/>
    </row>
    <row r="698">
      <c r="K698" s="93" t="n"/>
      <c r="L698" s="78" t="n"/>
      <c r="M698" s="78" t="n"/>
      <c r="N698" s="78" t="n"/>
    </row>
    <row r="699">
      <c r="K699" s="93" t="n"/>
      <c r="L699" s="78" t="n"/>
      <c r="M699" s="78" t="n"/>
      <c r="N699" s="78" t="n"/>
    </row>
    <row r="700">
      <c r="K700" s="93" t="n"/>
      <c r="L700" s="78" t="n"/>
      <c r="M700" s="78" t="n"/>
      <c r="N700" s="78" t="n"/>
    </row>
    <row r="701">
      <c r="K701" s="93" t="n"/>
      <c r="L701" s="78" t="n"/>
      <c r="M701" s="78" t="n"/>
      <c r="N701" s="78" t="n"/>
    </row>
    <row r="702">
      <c r="K702" s="93" t="n"/>
      <c r="L702" s="78" t="n"/>
      <c r="M702" s="78" t="n"/>
      <c r="N702" s="78" t="n"/>
    </row>
    <row r="703">
      <c r="K703" s="93" t="n"/>
      <c r="L703" s="78" t="n"/>
      <c r="M703" s="78" t="n"/>
      <c r="N703" s="78" t="n"/>
    </row>
    <row r="704">
      <c r="K704" s="93" t="n"/>
      <c r="L704" s="78" t="n"/>
      <c r="M704" s="78" t="n"/>
      <c r="N704" s="78" t="n"/>
    </row>
    <row r="705">
      <c r="K705" s="93" t="n"/>
      <c r="L705" s="78" t="n"/>
      <c r="M705" s="78" t="n"/>
      <c r="N705" s="78" t="n"/>
    </row>
    <row r="706">
      <c r="K706" s="93" t="n"/>
      <c r="L706" s="78" t="n"/>
      <c r="M706" s="78" t="n"/>
      <c r="N706" s="78" t="n"/>
    </row>
    <row r="707">
      <c r="K707" s="93" t="n"/>
      <c r="L707" s="78" t="n"/>
      <c r="M707" s="78" t="n"/>
      <c r="N707" s="78" t="n"/>
    </row>
    <row r="708">
      <c r="K708" s="93" t="n"/>
      <c r="L708" s="78" t="n"/>
      <c r="M708" s="78" t="n"/>
      <c r="N708" s="78" t="n"/>
    </row>
    <row r="709">
      <c r="K709" s="93" t="n"/>
      <c r="L709" s="78" t="n"/>
      <c r="M709" s="78" t="n"/>
      <c r="N709" s="78" t="n"/>
    </row>
    <row r="710">
      <c r="K710" s="93" t="n"/>
      <c r="L710" s="78" t="n"/>
      <c r="M710" s="78" t="n"/>
      <c r="N710" s="78" t="n"/>
    </row>
    <row r="711">
      <c r="K711" s="93" t="n"/>
      <c r="L711" s="78" t="n"/>
      <c r="M711" s="78" t="n"/>
      <c r="N711" s="78" t="n"/>
    </row>
    <row r="712">
      <c r="K712" s="93" t="n"/>
      <c r="L712" s="78" t="n"/>
      <c r="M712" s="78" t="n"/>
      <c r="N712" s="78" t="n"/>
    </row>
    <row r="713">
      <c r="K713" s="93" t="n"/>
      <c r="L713" s="78" t="n"/>
      <c r="M713" s="78" t="n"/>
      <c r="N713" s="78" t="n"/>
    </row>
    <row r="714">
      <c r="K714" s="93" t="n"/>
      <c r="L714" s="78" t="n"/>
      <c r="M714" s="78" t="n"/>
      <c r="N714" s="78" t="n"/>
    </row>
    <row r="715">
      <c r="K715" s="93" t="n"/>
      <c r="L715" s="78" t="n"/>
      <c r="M715" s="78" t="n"/>
      <c r="N715" s="78" t="n"/>
    </row>
    <row r="716">
      <c r="K716" s="93" t="n"/>
      <c r="L716" s="78" t="n"/>
      <c r="M716" s="78" t="n"/>
      <c r="N716" s="78" t="n"/>
    </row>
    <row r="717">
      <c r="K717" s="93" t="n"/>
      <c r="L717" s="78" t="n"/>
      <c r="M717" s="78" t="n"/>
      <c r="N717" s="78" t="n"/>
    </row>
    <row r="718">
      <c r="K718" s="93" t="n"/>
      <c r="L718" s="78" t="n"/>
      <c r="M718" s="78" t="n"/>
      <c r="N718" s="78" t="n"/>
    </row>
    <row r="719">
      <c r="K719" s="93" t="n"/>
      <c r="L719" s="78" t="n"/>
      <c r="M719" s="78" t="n"/>
      <c r="N719" s="78" t="n"/>
    </row>
    <row r="720">
      <c r="K720" s="93" t="n"/>
      <c r="L720" s="78" t="n"/>
      <c r="M720" s="78" t="n"/>
      <c r="N720" s="78" t="n"/>
    </row>
    <row r="721">
      <c r="K721" s="93" t="n"/>
      <c r="L721" s="78" t="n"/>
      <c r="M721" s="78" t="n"/>
      <c r="N721" s="78" t="n"/>
    </row>
    <row r="722">
      <c r="K722" s="93" t="n"/>
      <c r="L722" s="78" t="n"/>
      <c r="M722" s="78" t="n"/>
      <c r="N722" s="78" t="n"/>
    </row>
    <row r="723">
      <c r="K723" s="93" t="n"/>
      <c r="L723" s="78" t="n"/>
      <c r="M723" s="78" t="n"/>
      <c r="N723" s="78" t="n"/>
    </row>
    <row r="724">
      <c r="K724" s="93" t="n"/>
      <c r="L724" s="78" t="n"/>
      <c r="M724" s="78" t="n"/>
      <c r="N724" s="78" t="n"/>
    </row>
    <row r="725">
      <c r="K725" s="93" t="n"/>
      <c r="L725" s="78" t="n"/>
      <c r="M725" s="78" t="n"/>
      <c r="N725" s="78" t="n"/>
    </row>
    <row r="726">
      <c r="K726" s="93" t="n"/>
      <c r="L726" s="78" t="n"/>
      <c r="M726" s="78" t="n"/>
      <c r="N726" s="78" t="n"/>
    </row>
    <row r="727">
      <c r="K727" s="93" t="n"/>
      <c r="L727" s="78" t="n"/>
      <c r="M727" s="78" t="n"/>
      <c r="N727" s="78" t="n"/>
    </row>
    <row r="728">
      <c r="K728" s="93" t="n"/>
      <c r="L728" s="78" t="n"/>
      <c r="M728" s="78" t="n"/>
      <c r="N728" s="78" t="n"/>
    </row>
    <row r="729">
      <c r="K729" s="93" t="n"/>
      <c r="L729" s="78" t="n"/>
      <c r="M729" s="78" t="n"/>
      <c r="N729" s="78" t="n"/>
    </row>
    <row r="730">
      <c r="K730" s="93" t="n"/>
      <c r="L730" s="78" t="n"/>
      <c r="M730" s="78" t="n"/>
      <c r="N730" s="78" t="n"/>
    </row>
    <row r="731">
      <c r="K731" s="93" t="n"/>
      <c r="L731" s="78" t="n"/>
      <c r="M731" s="78" t="n"/>
      <c r="N731" s="78" t="n"/>
    </row>
    <row r="732">
      <c r="K732" s="93" t="n"/>
      <c r="L732" s="78" t="n"/>
      <c r="M732" s="78" t="n"/>
      <c r="N732" s="78" t="n"/>
    </row>
    <row r="733">
      <c r="K733" s="93" t="n"/>
      <c r="L733" s="78" t="n"/>
      <c r="M733" s="78" t="n"/>
      <c r="N733" s="78" t="n"/>
    </row>
    <row r="734">
      <c r="K734" s="93" t="n"/>
      <c r="L734" s="78" t="n"/>
      <c r="M734" s="78" t="n"/>
      <c r="N734" s="78" t="n"/>
    </row>
    <row r="735">
      <c r="K735" s="93" t="n"/>
      <c r="L735" s="78" t="n"/>
      <c r="M735" s="78" t="n"/>
      <c r="N735" s="78" t="n"/>
    </row>
    <row r="736">
      <c r="K736" s="93" t="n"/>
      <c r="L736" s="78" t="n"/>
      <c r="M736" s="78" t="n"/>
      <c r="N736" s="78" t="n"/>
    </row>
    <row r="737">
      <c r="K737" s="93" t="n"/>
      <c r="L737" s="78" t="n"/>
      <c r="M737" s="78" t="n"/>
      <c r="N737" s="78" t="n"/>
    </row>
    <row r="738">
      <c r="K738" s="93" t="n"/>
      <c r="L738" s="78" t="n"/>
      <c r="M738" s="78" t="n"/>
      <c r="N738" s="78" t="n"/>
    </row>
    <row r="739">
      <c r="K739" s="93" t="n"/>
      <c r="L739" s="78" t="n"/>
      <c r="M739" s="78" t="n"/>
      <c r="N739" s="78" t="n"/>
    </row>
    <row r="740">
      <c r="K740" s="93" t="n"/>
      <c r="L740" s="78" t="n"/>
      <c r="M740" s="78" t="n"/>
      <c r="N740" s="78" t="n"/>
    </row>
    <row r="741">
      <c r="K741" s="93" t="n"/>
      <c r="L741" s="78" t="n"/>
      <c r="M741" s="78" t="n"/>
      <c r="N741" s="78" t="n"/>
    </row>
    <row r="742">
      <c r="K742" s="93" t="n"/>
      <c r="L742" s="78" t="n"/>
      <c r="M742" s="78" t="n"/>
      <c r="N742" s="78" t="n"/>
    </row>
    <row r="743">
      <c r="K743" s="93" t="n"/>
      <c r="L743" s="78" t="n"/>
      <c r="M743" s="78" t="n"/>
      <c r="N743" s="78" t="n"/>
    </row>
    <row r="744">
      <c r="K744" s="93" t="n"/>
      <c r="L744" s="78" t="n"/>
      <c r="M744" s="78" t="n"/>
      <c r="N744" s="78" t="n"/>
    </row>
    <row r="745">
      <c r="K745" s="93" t="n"/>
      <c r="L745" s="78" t="n"/>
      <c r="M745" s="78" t="n"/>
      <c r="N745" s="78" t="n"/>
    </row>
    <row r="746">
      <c r="K746" s="93" t="n"/>
      <c r="L746" s="78" t="n"/>
      <c r="M746" s="78" t="n"/>
      <c r="N746" s="78" t="n"/>
    </row>
    <row r="747">
      <c r="K747" s="93" t="n"/>
      <c r="L747" s="78" t="n"/>
      <c r="M747" s="78" t="n"/>
      <c r="N747" s="78" t="n"/>
    </row>
    <row r="748">
      <c r="K748" s="93" t="n"/>
      <c r="L748" s="78" t="n"/>
      <c r="M748" s="78" t="n"/>
      <c r="N748" s="78" t="n"/>
    </row>
    <row r="749">
      <c r="K749" s="93" t="n"/>
      <c r="L749" s="78" t="n"/>
      <c r="M749" s="78" t="n"/>
      <c r="N749" s="78" t="n"/>
    </row>
    <row r="750">
      <c r="K750" s="93" t="n"/>
      <c r="L750" s="78" t="n"/>
      <c r="M750" s="78" t="n"/>
      <c r="N750" s="78" t="n"/>
    </row>
    <row r="751">
      <c r="K751" s="93" t="n"/>
      <c r="L751" s="78" t="n"/>
      <c r="M751" s="78" t="n"/>
      <c r="N751" s="78" t="n"/>
    </row>
    <row r="752">
      <c r="K752" s="93" t="n"/>
      <c r="L752" s="78" t="n"/>
      <c r="M752" s="78" t="n"/>
      <c r="N752" s="78" t="n"/>
    </row>
    <row r="753">
      <c r="K753" s="93" t="n"/>
      <c r="L753" s="78" t="n"/>
      <c r="M753" s="78" t="n"/>
      <c r="N753" s="78" t="n"/>
    </row>
    <row r="754">
      <c r="K754" s="93" t="n"/>
      <c r="L754" s="78" t="n"/>
      <c r="M754" s="78" t="n"/>
      <c r="N754" s="78" t="n"/>
    </row>
    <row r="755">
      <c r="K755" s="93" t="n"/>
      <c r="L755" s="78" t="n"/>
      <c r="M755" s="78" t="n"/>
      <c r="N755" s="78" t="n"/>
    </row>
    <row r="756">
      <c r="K756" s="93" t="n"/>
      <c r="L756" s="78" t="n"/>
      <c r="M756" s="78" t="n"/>
      <c r="N756" s="78" t="n"/>
    </row>
    <row r="757">
      <c r="K757" s="93" t="n"/>
      <c r="L757" s="78" t="n"/>
      <c r="M757" s="78" t="n"/>
      <c r="N757" s="78" t="n"/>
    </row>
    <row r="758">
      <c r="K758" s="93" t="n"/>
      <c r="L758" s="78" t="n"/>
      <c r="M758" s="78" t="n"/>
      <c r="N758" s="78" t="n"/>
    </row>
    <row r="759">
      <c r="K759" s="93" t="n"/>
      <c r="L759" s="78" t="n"/>
      <c r="M759" s="78" t="n"/>
      <c r="N759" s="78" t="n"/>
    </row>
    <row r="760">
      <c r="K760" s="93" t="n"/>
      <c r="L760" s="78" t="n"/>
      <c r="M760" s="78" t="n"/>
      <c r="N760" s="78" t="n"/>
    </row>
    <row r="761">
      <c r="K761" s="93" t="n"/>
      <c r="L761" s="78" t="n"/>
      <c r="M761" s="78" t="n"/>
      <c r="N761" s="78" t="n"/>
    </row>
    <row r="762">
      <c r="K762" s="93" t="n"/>
      <c r="L762" s="78" t="n"/>
      <c r="M762" s="78" t="n"/>
      <c r="N762" s="78" t="n"/>
    </row>
    <row r="763">
      <c r="K763" s="93" t="n"/>
      <c r="L763" s="78" t="n"/>
      <c r="M763" s="78" t="n"/>
      <c r="N763" s="78" t="n"/>
    </row>
    <row r="764">
      <c r="K764" s="93" t="n"/>
      <c r="L764" s="78" t="n"/>
      <c r="M764" s="78" t="n"/>
      <c r="N764" s="78" t="n"/>
    </row>
    <row r="765">
      <c r="K765" s="93" t="n"/>
      <c r="L765" s="78" t="n"/>
      <c r="M765" s="78" t="n"/>
      <c r="N765" s="78" t="n"/>
    </row>
    <row r="766">
      <c r="K766" s="93" t="n"/>
      <c r="L766" s="78" t="n"/>
      <c r="M766" s="78" t="n"/>
      <c r="N766" s="78" t="n"/>
    </row>
    <row r="767">
      <c r="K767" s="93" t="n"/>
      <c r="L767" s="78" t="n"/>
      <c r="M767" s="78" t="n"/>
      <c r="N767" s="78" t="n"/>
    </row>
    <row r="768">
      <c r="K768" s="93" t="n"/>
      <c r="L768" s="78" t="n"/>
      <c r="M768" s="78" t="n"/>
      <c r="N768" s="78" t="n"/>
    </row>
    <row r="769">
      <c r="K769" s="93" t="n"/>
      <c r="L769" s="78" t="n"/>
      <c r="M769" s="78" t="n"/>
      <c r="N769" s="78" t="n"/>
    </row>
    <row r="770">
      <c r="K770" s="93" t="n"/>
      <c r="L770" s="78" t="n"/>
      <c r="M770" s="78" t="n"/>
      <c r="N770" s="78" t="n"/>
    </row>
    <row r="771">
      <c r="K771" s="93" t="n"/>
      <c r="L771" s="78" t="n"/>
      <c r="M771" s="78" t="n"/>
      <c r="N771" s="78" t="n"/>
    </row>
    <row r="772">
      <c r="K772" s="93" t="n"/>
      <c r="L772" s="78" t="n"/>
      <c r="M772" s="78" t="n"/>
      <c r="N772" s="78" t="n"/>
    </row>
    <row r="773">
      <c r="K773" s="93" t="n"/>
      <c r="L773" s="78" t="n"/>
      <c r="M773" s="78" t="n"/>
      <c r="N773" s="78" t="n"/>
    </row>
    <row r="774">
      <c r="K774" s="93" t="n"/>
      <c r="L774" s="78" t="n"/>
      <c r="M774" s="78" t="n"/>
      <c r="N774" s="78" t="n"/>
    </row>
    <row r="775">
      <c r="K775" s="93" t="n"/>
      <c r="L775" s="78" t="n"/>
      <c r="M775" s="78" t="n"/>
      <c r="N775" s="78" t="n"/>
    </row>
    <row r="776">
      <c r="K776" s="93" t="n"/>
      <c r="L776" s="78" t="n"/>
      <c r="M776" s="78" t="n"/>
      <c r="N776" s="78" t="n"/>
    </row>
    <row r="777">
      <c r="K777" s="93" t="n"/>
      <c r="L777" s="78" t="n"/>
      <c r="M777" s="78" t="n"/>
      <c r="N777" s="78" t="n"/>
    </row>
    <row r="778">
      <c r="K778" s="93" t="n"/>
      <c r="L778" s="78" t="n"/>
      <c r="M778" s="78" t="n"/>
      <c r="N778" s="78" t="n"/>
    </row>
    <row r="779">
      <c r="K779" s="93" t="n"/>
      <c r="L779" s="78" t="n"/>
      <c r="M779" s="78" t="n"/>
      <c r="N779" s="78" t="n"/>
    </row>
    <row r="780">
      <c r="K780" s="93" t="n"/>
      <c r="L780" s="78" t="n"/>
      <c r="M780" s="78" t="n"/>
      <c r="N780" s="78" t="n"/>
    </row>
    <row r="781">
      <c r="K781" s="93" t="n"/>
      <c r="L781" s="78" t="n"/>
      <c r="M781" s="78" t="n"/>
      <c r="N781" s="78" t="n"/>
    </row>
    <row r="782">
      <c r="K782" s="93" t="n"/>
      <c r="L782" s="78" t="n"/>
      <c r="M782" s="78" t="n"/>
      <c r="N782" s="78" t="n"/>
    </row>
    <row r="783">
      <c r="K783" s="93" t="n"/>
      <c r="L783" s="78" t="n"/>
      <c r="M783" s="78" t="n"/>
      <c r="N783" s="78" t="n"/>
    </row>
    <row r="784">
      <c r="K784" s="93" t="n"/>
      <c r="L784" s="78" t="n"/>
      <c r="M784" s="78" t="n"/>
      <c r="N784" s="78" t="n"/>
    </row>
    <row r="785">
      <c r="K785" s="93" t="n"/>
      <c r="L785" s="78" t="n"/>
      <c r="M785" s="78" t="n"/>
      <c r="N785" s="78" t="n"/>
    </row>
    <row r="786">
      <c r="K786" s="93" t="n"/>
      <c r="L786" s="78" t="n"/>
      <c r="M786" s="78" t="n"/>
      <c r="N786" s="78" t="n"/>
    </row>
    <row r="787">
      <c r="K787" s="93" t="n"/>
      <c r="L787" s="78" t="n"/>
      <c r="M787" s="78" t="n"/>
      <c r="N787" s="78" t="n"/>
    </row>
    <row r="788">
      <c r="K788" s="93" t="n"/>
      <c r="L788" s="78" t="n"/>
      <c r="M788" s="78" t="n"/>
      <c r="N788" s="78" t="n"/>
    </row>
    <row r="789">
      <c r="K789" s="93" t="n"/>
      <c r="L789" s="78" t="n"/>
      <c r="M789" s="78" t="n"/>
      <c r="N789" s="78" t="n"/>
    </row>
    <row r="790">
      <c r="K790" s="93" t="n"/>
      <c r="L790" s="78" t="n"/>
      <c r="M790" s="78" t="n"/>
      <c r="N790" s="78" t="n"/>
    </row>
    <row r="791">
      <c r="K791" s="93" t="n"/>
      <c r="L791" s="78" t="n"/>
      <c r="M791" s="78" t="n"/>
      <c r="N791" s="78" t="n"/>
    </row>
    <row r="792">
      <c r="K792" s="93" t="n"/>
      <c r="L792" s="78" t="n"/>
      <c r="M792" s="78" t="n"/>
      <c r="N792" s="78" t="n"/>
    </row>
    <row r="793">
      <c r="K793" s="93" t="n"/>
      <c r="L793" s="78" t="n"/>
      <c r="M793" s="78" t="n"/>
      <c r="N793" s="78" t="n"/>
    </row>
    <row r="794">
      <c r="K794" s="93" t="n"/>
      <c r="L794" s="78" t="n"/>
      <c r="M794" s="78" t="n"/>
      <c r="N794" s="78" t="n"/>
    </row>
    <row r="795">
      <c r="K795" s="93" t="n"/>
      <c r="L795" s="78" t="n"/>
      <c r="M795" s="78" t="n"/>
      <c r="N795" s="78" t="n"/>
    </row>
    <row r="796">
      <c r="K796" s="93" t="n"/>
      <c r="L796" s="78" t="n"/>
      <c r="M796" s="78" t="n"/>
      <c r="N796" s="78" t="n"/>
    </row>
    <row r="797">
      <c r="K797" s="93" t="n"/>
      <c r="L797" s="78" t="n"/>
      <c r="M797" s="78" t="n"/>
      <c r="N797" s="78" t="n"/>
    </row>
    <row r="798">
      <c r="K798" s="93" t="n"/>
      <c r="L798" s="78" t="n"/>
      <c r="M798" s="78" t="n"/>
      <c r="N798" s="78" t="n"/>
    </row>
    <row r="799">
      <c r="K799" s="93" t="n"/>
      <c r="L799" s="78" t="n"/>
      <c r="M799" s="78" t="n"/>
      <c r="N799" s="78" t="n"/>
    </row>
    <row r="800">
      <c r="K800" s="93" t="n"/>
      <c r="L800" s="78" t="n"/>
      <c r="M800" s="78" t="n"/>
      <c r="N800" s="78" t="n"/>
    </row>
    <row r="801">
      <c r="K801" s="93" t="n"/>
      <c r="L801" s="78" t="n"/>
      <c r="M801" s="78" t="n"/>
      <c r="N801" s="78" t="n"/>
    </row>
    <row r="802">
      <c r="K802" s="93" t="n"/>
      <c r="L802" s="78" t="n"/>
      <c r="M802" s="78" t="n"/>
      <c r="N802" s="78" t="n"/>
    </row>
    <row r="803">
      <c r="K803" s="93" t="n"/>
      <c r="L803" s="78" t="n"/>
      <c r="M803" s="78" t="n"/>
      <c r="N803" s="78" t="n"/>
    </row>
    <row r="804">
      <c r="K804" s="93" t="n"/>
      <c r="L804" s="78" t="n"/>
      <c r="M804" s="78" t="n"/>
      <c r="N804" s="78" t="n"/>
    </row>
    <row r="805">
      <c r="K805" s="93" t="n"/>
      <c r="L805" s="78" t="n"/>
      <c r="M805" s="78" t="n"/>
      <c r="N805" s="78" t="n"/>
    </row>
    <row r="806">
      <c r="K806" s="93" t="n"/>
      <c r="L806" s="78" t="n"/>
      <c r="M806" s="78" t="n"/>
      <c r="N806" s="78" t="n"/>
    </row>
    <row r="807">
      <c r="K807" s="93" t="n"/>
      <c r="L807" s="78" t="n"/>
      <c r="M807" s="78" t="n"/>
      <c r="N807" s="78" t="n"/>
    </row>
    <row r="808">
      <c r="K808" s="93" t="n"/>
      <c r="L808" s="78" t="n"/>
      <c r="M808" s="78" t="n"/>
      <c r="N808" s="78" t="n"/>
    </row>
    <row r="809">
      <c r="K809" s="93" t="n"/>
      <c r="L809" s="78" t="n"/>
      <c r="M809" s="78" t="n"/>
      <c r="N809" s="78" t="n"/>
    </row>
    <row r="810">
      <c r="K810" s="93" t="n"/>
      <c r="L810" s="78" t="n"/>
      <c r="M810" s="78" t="n"/>
      <c r="N810" s="78" t="n"/>
    </row>
    <row r="811">
      <c r="K811" s="93" t="n"/>
      <c r="L811" s="78" t="n"/>
      <c r="M811" s="78" t="n"/>
      <c r="N811" s="78" t="n"/>
    </row>
    <row r="812">
      <c r="K812" s="93" t="n"/>
      <c r="L812" s="78" t="n"/>
      <c r="M812" s="78" t="n"/>
      <c r="N812" s="78" t="n"/>
    </row>
    <row r="813">
      <c r="K813" s="93" t="n"/>
      <c r="L813" s="78" t="n"/>
      <c r="M813" s="78" t="n"/>
      <c r="N813" s="78" t="n"/>
    </row>
    <row r="814">
      <c r="K814" s="93" t="n"/>
      <c r="L814" s="78" t="n"/>
      <c r="M814" s="78" t="n"/>
      <c r="N814" s="78" t="n"/>
    </row>
    <row r="815">
      <c r="K815" s="93" t="n"/>
      <c r="L815" s="78" t="n"/>
      <c r="M815" s="78" t="n"/>
      <c r="N815" s="78" t="n"/>
    </row>
    <row r="816">
      <c r="K816" s="93" t="n"/>
      <c r="L816" s="78" t="n"/>
      <c r="M816" s="78" t="n"/>
      <c r="N816" s="78" t="n"/>
    </row>
    <row r="817">
      <c r="K817" s="93" t="n"/>
      <c r="L817" s="78" t="n"/>
      <c r="M817" s="78" t="n"/>
      <c r="N817" s="78" t="n"/>
    </row>
    <row r="818">
      <c r="K818" s="93" t="n"/>
      <c r="L818" s="78" t="n"/>
      <c r="M818" s="78" t="n"/>
      <c r="N818" s="78" t="n"/>
    </row>
    <row r="819">
      <c r="K819" s="93" t="n"/>
      <c r="L819" s="78" t="n"/>
      <c r="M819" s="78" t="n"/>
      <c r="N819" s="78" t="n"/>
    </row>
    <row r="820">
      <c r="K820" s="93" t="n"/>
      <c r="L820" s="78" t="n"/>
      <c r="M820" s="78" t="n"/>
      <c r="N820" s="78" t="n"/>
    </row>
    <row r="821">
      <c r="K821" s="93" t="n"/>
      <c r="L821" s="78" t="n"/>
      <c r="M821" s="78" t="n"/>
      <c r="N821" s="78" t="n"/>
    </row>
    <row r="822">
      <c r="K822" s="93" t="n"/>
      <c r="L822" s="78" t="n"/>
      <c r="M822" s="78" t="n"/>
      <c r="N822" s="78" t="n"/>
    </row>
    <row r="823">
      <c r="K823" s="93" t="n"/>
      <c r="L823" s="78" t="n"/>
      <c r="M823" s="78" t="n"/>
      <c r="N823" s="78" t="n"/>
    </row>
    <row r="824">
      <c r="K824" s="93" t="n"/>
      <c r="L824" s="78" t="n"/>
      <c r="M824" s="78" t="n"/>
      <c r="N824" s="78" t="n"/>
    </row>
    <row r="825">
      <c r="K825" s="93" t="n"/>
      <c r="L825" s="78" t="n"/>
      <c r="M825" s="78" t="n"/>
      <c r="N825" s="78" t="n"/>
    </row>
    <row r="826">
      <c r="K826" s="93" t="n"/>
      <c r="L826" s="78" t="n"/>
      <c r="M826" s="78" t="n"/>
      <c r="N826" s="78" t="n"/>
    </row>
    <row r="827">
      <c r="K827" s="93" t="n"/>
      <c r="L827" s="78" t="n"/>
      <c r="M827" s="78" t="n"/>
      <c r="N827" s="78" t="n"/>
    </row>
    <row r="828">
      <c r="K828" s="93" t="n"/>
      <c r="L828" s="78" t="n"/>
      <c r="M828" s="78" t="n"/>
      <c r="N828" s="78" t="n"/>
    </row>
    <row r="829">
      <c r="K829" s="93" t="n"/>
      <c r="L829" s="78" t="n"/>
      <c r="M829" s="78" t="n"/>
      <c r="N829" s="78" t="n"/>
    </row>
    <row r="830">
      <c r="K830" s="93" t="n"/>
      <c r="L830" s="78" t="n"/>
      <c r="M830" s="78" t="n"/>
      <c r="N830" s="78" t="n"/>
    </row>
    <row r="831">
      <c r="K831" s="93" t="n"/>
      <c r="L831" s="78" t="n"/>
      <c r="M831" s="78" t="n"/>
      <c r="N831" s="78" t="n"/>
    </row>
    <row r="832">
      <c r="K832" s="93" t="n"/>
      <c r="L832" s="78" t="n"/>
      <c r="M832" s="78" t="n"/>
      <c r="N832" s="78" t="n"/>
    </row>
    <row r="833">
      <c r="K833" s="93" t="n"/>
      <c r="L833" s="78" t="n"/>
      <c r="M833" s="78" t="n"/>
      <c r="N833" s="78" t="n"/>
    </row>
    <row r="834">
      <c r="K834" s="93" t="n"/>
      <c r="L834" s="78" t="n"/>
      <c r="M834" s="78" t="n"/>
      <c r="N834" s="78" t="n"/>
    </row>
    <row r="835">
      <c r="K835" s="93" t="n"/>
      <c r="L835" s="78" t="n"/>
      <c r="M835" s="78" t="n"/>
      <c r="N835" s="78" t="n"/>
    </row>
    <row r="836">
      <c r="K836" s="93" t="n"/>
      <c r="L836" s="78" t="n"/>
      <c r="M836" s="78" t="n"/>
      <c r="N836" s="78" t="n"/>
    </row>
    <row r="837">
      <c r="K837" s="93" t="n"/>
      <c r="L837" s="78" t="n"/>
      <c r="M837" s="78" t="n"/>
      <c r="N837" s="78" t="n"/>
    </row>
    <row r="838">
      <c r="K838" s="93" t="n"/>
      <c r="L838" s="78" t="n"/>
      <c r="M838" s="78" t="n"/>
      <c r="N838" s="78" t="n"/>
    </row>
    <row r="839">
      <c r="K839" s="93" t="n"/>
      <c r="L839" s="78" t="n"/>
      <c r="M839" s="78" t="n"/>
      <c r="N839" s="78" t="n"/>
    </row>
    <row r="840">
      <c r="K840" s="93" t="n"/>
      <c r="L840" s="78" t="n"/>
      <c r="M840" s="78" t="n"/>
      <c r="N840" s="78" t="n"/>
    </row>
    <row r="841">
      <c r="K841" s="93" t="n"/>
      <c r="L841" s="78" t="n"/>
      <c r="M841" s="78" t="n"/>
      <c r="N841" s="78" t="n"/>
    </row>
    <row r="842">
      <c r="K842" s="93" t="n"/>
      <c r="L842" s="78" t="n"/>
      <c r="M842" s="78" t="n"/>
      <c r="N842" s="78" t="n"/>
    </row>
    <row r="843">
      <c r="K843" s="93" t="n"/>
      <c r="L843" s="78" t="n"/>
      <c r="M843" s="78" t="n"/>
      <c r="N843" s="78" t="n"/>
    </row>
    <row r="844">
      <c r="K844" s="93" t="n"/>
      <c r="L844" s="78" t="n"/>
      <c r="M844" s="78" t="n"/>
      <c r="N844" s="78" t="n"/>
    </row>
    <row r="845">
      <c r="K845" s="93" t="n"/>
      <c r="L845" s="78" t="n"/>
      <c r="M845" s="78" t="n"/>
      <c r="N845" s="78" t="n"/>
    </row>
    <row r="846">
      <c r="K846" s="93" t="n"/>
      <c r="L846" s="78" t="n"/>
      <c r="M846" s="78" t="n"/>
      <c r="N846" s="78" t="n"/>
    </row>
    <row r="847">
      <c r="K847" s="93" t="n"/>
      <c r="L847" s="78" t="n"/>
      <c r="M847" s="78" t="n"/>
      <c r="N847" s="78" t="n"/>
    </row>
    <row r="848">
      <c r="K848" s="93" t="n"/>
      <c r="L848" s="78" t="n"/>
      <c r="M848" s="78" t="n"/>
      <c r="N848" s="78" t="n"/>
    </row>
    <row r="849">
      <c r="K849" s="93" t="n"/>
      <c r="L849" s="78" t="n"/>
      <c r="M849" s="78" t="n"/>
      <c r="N849" s="78" t="n"/>
    </row>
    <row r="850">
      <c r="K850" s="93" t="n"/>
      <c r="L850" s="78" t="n"/>
      <c r="M850" s="78" t="n"/>
      <c r="N850" s="78" t="n"/>
    </row>
    <row r="851">
      <c r="K851" s="93" t="n"/>
      <c r="L851" s="78" t="n"/>
      <c r="M851" s="78" t="n"/>
      <c r="N851" s="78" t="n"/>
    </row>
    <row r="852">
      <c r="K852" s="93" t="n"/>
      <c r="L852" s="78" t="n"/>
      <c r="M852" s="78" t="n"/>
      <c r="N852" s="78" t="n"/>
    </row>
    <row r="853">
      <c r="K853" s="93" t="n"/>
      <c r="L853" s="78" t="n"/>
      <c r="M853" s="78" t="n"/>
      <c r="N853" s="78" t="n"/>
    </row>
    <row r="854">
      <c r="K854" s="93" t="n"/>
      <c r="L854" s="78" t="n"/>
      <c r="M854" s="78" t="n"/>
      <c r="N854" s="78" t="n"/>
    </row>
    <row r="855">
      <c r="K855" s="93" t="n"/>
      <c r="L855" s="78" t="n"/>
      <c r="M855" s="78" t="n"/>
      <c r="N855" s="78" t="n"/>
    </row>
    <row r="856">
      <c r="K856" s="93" t="n"/>
      <c r="L856" s="78" t="n"/>
      <c r="M856" s="78" t="n"/>
      <c r="N856" s="78" t="n"/>
    </row>
    <row r="857">
      <c r="K857" s="93" t="n"/>
      <c r="L857" s="78" t="n"/>
      <c r="M857" s="78" t="n"/>
      <c r="N857" s="78" t="n"/>
    </row>
    <row r="858">
      <c r="K858" s="93" t="n"/>
      <c r="L858" s="78" t="n"/>
      <c r="M858" s="78" t="n"/>
      <c r="N858" s="78" t="n"/>
    </row>
    <row r="859">
      <c r="K859" s="93" t="n"/>
      <c r="L859" s="78" t="n"/>
      <c r="M859" s="78" t="n"/>
      <c r="N859" s="78" t="n"/>
    </row>
    <row r="860">
      <c r="K860" s="93" t="n"/>
      <c r="L860" s="78" t="n"/>
      <c r="M860" s="78" t="n"/>
      <c r="N860" s="78" t="n"/>
    </row>
    <row r="861">
      <c r="K861" s="93" t="n"/>
      <c r="L861" s="78" t="n"/>
      <c r="M861" s="78" t="n"/>
      <c r="N861" s="78" t="n"/>
    </row>
    <row r="862">
      <c r="K862" s="93" t="n"/>
      <c r="L862" s="78" t="n"/>
      <c r="M862" s="78" t="n"/>
      <c r="N862" s="78" t="n"/>
    </row>
    <row r="863">
      <c r="K863" s="93" t="n"/>
      <c r="L863" s="78" t="n"/>
      <c r="M863" s="78" t="n"/>
      <c r="N863" s="78" t="n"/>
    </row>
    <row r="864">
      <c r="K864" s="93" t="n"/>
      <c r="L864" s="78" t="n"/>
      <c r="M864" s="78" t="n"/>
      <c r="N864" s="78" t="n"/>
    </row>
    <row r="865">
      <c r="K865" s="93" t="n"/>
      <c r="L865" s="78" t="n"/>
      <c r="M865" s="78" t="n"/>
      <c r="N865" s="78" t="n"/>
    </row>
    <row r="866">
      <c r="K866" s="93" t="n"/>
      <c r="L866" s="78" t="n"/>
      <c r="M866" s="78" t="n"/>
      <c r="N866" s="78" t="n"/>
    </row>
    <row r="867">
      <c r="K867" s="93" t="n"/>
      <c r="L867" s="78" t="n"/>
      <c r="M867" s="78" t="n"/>
      <c r="N867" s="78" t="n"/>
    </row>
    <row r="868">
      <c r="K868" s="93" t="n"/>
      <c r="L868" s="78" t="n"/>
      <c r="M868" s="78" t="n"/>
      <c r="N868" s="78" t="n"/>
    </row>
    <row r="869">
      <c r="K869" s="93" t="n"/>
      <c r="L869" s="78" t="n"/>
      <c r="M869" s="78" t="n"/>
      <c r="N869" s="78" t="n"/>
    </row>
    <row r="870">
      <c r="K870" s="93" t="n"/>
      <c r="L870" s="78" t="n"/>
      <c r="M870" s="78" t="n"/>
      <c r="N870" s="78" t="n"/>
    </row>
    <row r="871">
      <c r="K871" s="93" t="n"/>
      <c r="L871" s="78" t="n"/>
      <c r="M871" s="78" t="n"/>
      <c r="N871" s="78" t="n"/>
    </row>
    <row r="872">
      <c r="K872" s="93" t="n"/>
      <c r="L872" s="78" t="n"/>
      <c r="M872" s="78" t="n"/>
      <c r="N872" s="78" t="n"/>
    </row>
    <row r="873">
      <c r="K873" s="93" t="n"/>
      <c r="L873" s="78" t="n"/>
      <c r="M873" s="78" t="n"/>
      <c r="N873" s="78" t="n"/>
    </row>
    <row r="874">
      <c r="K874" s="93" t="n"/>
      <c r="L874" s="78" t="n"/>
      <c r="M874" s="78" t="n"/>
      <c r="N874" s="78" t="n"/>
    </row>
    <row r="875">
      <c r="K875" s="93" t="n"/>
      <c r="L875" s="78" t="n"/>
      <c r="M875" s="78" t="n"/>
      <c r="N875" s="78" t="n"/>
    </row>
    <row r="876">
      <c r="K876" s="93" t="n"/>
      <c r="L876" s="78" t="n"/>
      <c r="M876" s="78" t="n"/>
      <c r="N876" s="78" t="n"/>
    </row>
    <row r="877">
      <c r="K877" s="93" t="n"/>
      <c r="L877" s="78" t="n"/>
      <c r="M877" s="78" t="n"/>
      <c r="N877" s="78" t="n"/>
    </row>
    <row r="878">
      <c r="K878" s="93" t="n"/>
      <c r="L878" s="78" t="n"/>
      <c r="M878" s="78" t="n"/>
      <c r="N878" s="78" t="n"/>
    </row>
    <row r="879">
      <c r="K879" s="93" t="n"/>
      <c r="L879" s="78" t="n"/>
      <c r="M879" s="78" t="n"/>
      <c r="N879" s="78" t="n"/>
    </row>
    <row r="880">
      <c r="K880" s="93" t="n"/>
      <c r="L880" s="78" t="n"/>
      <c r="M880" s="78" t="n"/>
      <c r="N880" s="78" t="n"/>
    </row>
    <row r="881">
      <c r="K881" s="93" t="n"/>
      <c r="L881" s="78" t="n"/>
      <c r="M881" s="78" t="n"/>
      <c r="N881" s="78" t="n"/>
    </row>
    <row r="882">
      <c r="K882" s="93" t="n"/>
      <c r="L882" s="78" t="n"/>
      <c r="M882" s="78" t="n"/>
      <c r="N882" s="78" t="n"/>
    </row>
    <row r="883">
      <c r="K883" s="93" t="n"/>
      <c r="L883" s="78" t="n"/>
      <c r="M883" s="78" t="n"/>
      <c r="N883" s="78" t="n"/>
    </row>
    <row r="884">
      <c r="K884" s="93" t="n"/>
      <c r="L884" s="78" t="n"/>
      <c r="M884" s="78" t="n"/>
      <c r="N884" s="78" t="n"/>
    </row>
    <row r="885">
      <c r="K885" s="93" t="n"/>
      <c r="L885" s="78" t="n"/>
      <c r="M885" s="78" t="n"/>
      <c r="N885" s="78" t="n"/>
    </row>
    <row r="886">
      <c r="K886" s="93" t="n"/>
      <c r="L886" s="78" t="n"/>
      <c r="M886" s="78" t="n"/>
      <c r="N886" s="78" t="n"/>
    </row>
    <row r="887">
      <c r="K887" s="93" t="n"/>
      <c r="L887" s="78" t="n"/>
      <c r="M887" s="78" t="n"/>
      <c r="N887" s="78" t="n"/>
    </row>
    <row r="888">
      <c r="K888" s="93" t="n"/>
      <c r="L888" s="78" t="n"/>
      <c r="M888" s="78" t="n"/>
      <c r="N888" s="78" t="n"/>
    </row>
    <row r="889">
      <c r="K889" s="93" t="n"/>
      <c r="L889" s="78" t="n"/>
      <c r="M889" s="78" t="n"/>
      <c r="N889" s="78" t="n"/>
    </row>
    <row r="890">
      <c r="K890" s="93" t="n"/>
      <c r="L890" s="78" t="n"/>
      <c r="M890" s="78" t="n"/>
      <c r="N890" s="78" t="n"/>
    </row>
    <row r="891">
      <c r="K891" s="93" t="n"/>
      <c r="L891" s="78" t="n"/>
      <c r="M891" s="78" t="n"/>
      <c r="N891" s="78" t="n"/>
    </row>
    <row r="892">
      <c r="K892" s="93" t="n"/>
      <c r="L892" s="78" t="n"/>
      <c r="M892" s="78" t="n"/>
      <c r="N892" s="78" t="n"/>
    </row>
    <row r="893">
      <c r="K893" s="93" t="n"/>
      <c r="L893" s="78" t="n"/>
      <c r="M893" s="78" t="n"/>
      <c r="N893" s="78" t="n"/>
    </row>
    <row r="894">
      <c r="K894" s="93" t="n"/>
      <c r="L894" s="78" t="n"/>
      <c r="M894" s="78" t="n"/>
      <c r="N894" s="78" t="n"/>
    </row>
    <row r="895">
      <c r="K895" s="93" t="n"/>
      <c r="L895" s="78" t="n"/>
      <c r="M895" s="78" t="n"/>
      <c r="N895" s="78" t="n"/>
    </row>
    <row r="896">
      <c r="K896" s="93" t="n"/>
      <c r="L896" s="78" t="n"/>
      <c r="M896" s="78" t="n"/>
      <c r="N896" s="78" t="n"/>
    </row>
    <row r="897">
      <c r="K897" s="93" t="n"/>
      <c r="L897" s="78" t="n"/>
      <c r="M897" s="78" t="n"/>
      <c r="N897" s="78" t="n"/>
    </row>
    <row r="898">
      <c r="K898" s="93" t="n"/>
      <c r="L898" s="78" t="n"/>
      <c r="M898" s="78" t="n"/>
      <c r="N898" s="78" t="n"/>
    </row>
    <row r="899">
      <c r="K899" s="93" t="n"/>
      <c r="L899" s="78" t="n"/>
      <c r="M899" s="78" t="n"/>
      <c r="N899" s="78" t="n"/>
    </row>
    <row r="900">
      <c r="K900" s="93" t="n"/>
      <c r="L900" s="78" t="n"/>
      <c r="M900" s="78" t="n"/>
      <c r="N900" s="78" t="n"/>
    </row>
    <row r="901">
      <c r="K901" s="93" t="n"/>
      <c r="L901" s="78" t="n"/>
      <c r="M901" s="78" t="n"/>
      <c r="N901" s="78" t="n"/>
    </row>
    <row r="902">
      <c r="K902" s="93" t="n"/>
      <c r="L902" s="78" t="n"/>
      <c r="M902" s="78" t="n"/>
      <c r="N902" s="78" t="n"/>
    </row>
    <row r="903">
      <c r="K903" s="93" t="n"/>
      <c r="L903" s="78" t="n"/>
      <c r="M903" s="78" t="n"/>
      <c r="N903" s="78" t="n"/>
    </row>
    <row r="904">
      <c r="K904" s="93" t="n"/>
      <c r="L904" s="78" t="n"/>
      <c r="M904" s="78" t="n"/>
      <c r="N904" s="78" t="n"/>
    </row>
    <row r="905">
      <c r="K905" s="93" t="n"/>
      <c r="L905" s="78" t="n"/>
      <c r="M905" s="78" t="n"/>
      <c r="N905" s="78" t="n"/>
    </row>
    <row r="906">
      <c r="K906" s="93" t="n"/>
      <c r="L906" s="78" t="n"/>
      <c r="M906" s="78" t="n"/>
      <c r="N906" s="78" t="n"/>
    </row>
    <row r="907">
      <c r="K907" s="93" t="n"/>
      <c r="L907" s="78" t="n"/>
      <c r="M907" s="78" t="n"/>
      <c r="N907" s="78" t="n"/>
    </row>
    <row r="908">
      <c r="K908" s="93" t="n"/>
      <c r="L908" s="78" t="n"/>
      <c r="M908" s="78" t="n"/>
      <c r="N908" s="78" t="n"/>
    </row>
    <row r="909">
      <c r="K909" s="93" t="n"/>
      <c r="L909" s="78" t="n"/>
      <c r="M909" s="78" t="n"/>
      <c r="N909" s="78" t="n"/>
    </row>
    <row r="910">
      <c r="K910" s="93" t="n"/>
      <c r="L910" s="78" t="n"/>
      <c r="M910" s="78" t="n"/>
      <c r="N910" s="78" t="n"/>
    </row>
    <row r="911">
      <c r="K911" s="93" t="n"/>
      <c r="L911" s="78" t="n"/>
      <c r="M911" s="78" t="n"/>
      <c r="N911" s="78" t="n"/>
    </row>
    <row r="912">
      <c r="K912" s="93" t="n"/>
      <c r="L912" s="78" t="n"/>
      <c r="M912" s="78" t="n"/>
      <c r="N912" s="78" t="n"/>
    </row>
    <row r="913">
      <c r="K913" s="93" t="n"/>
      <c r="L913" s="78" t="n"/>
      <c r="M913" s="78" t="n"/>
      <c r="N913" s="78" t="n"/>
    </row>
    <row r="914">
      <c r="K914" s="93" t="n"/>
      <c r="L914" s="78" t="n"/>
      <c r="M914" s="78" t="n"/>
      <c r="N914" s="78" t="n"/>
    </row>
    <row r="915">
      <c r="K915" s="93" t="n"/>
      <c r="L915" s="78" t="n"/>
      <c r="M915" s="78" t="n"/>
      <c r="N915" s="78" t="n"/>
    </row>
    <row r="916">
      <c r="K916" s="93" t="n"/>
      <c r="L916" s="78" t="n"/>
      <c r="M916" s="78" t="n"/>
      <c r="N916" s="78" t="n"/>
    </row>
    <row r="917">
      <c r="K917" s="93" t="n"/>
      <c r="L917" s="78" t="n"/>
      <c r="M917" s="78" t="n"/>
      <c r="N917" s="78" t="n"/>
    </row>
    <row r="918">
      <c r="K918" s="93" t="n"/>
      <c r="L918" s="78" t="n"/>
      <c r="M918" s="78" t="n"/>
      <c r="N918" s="78" t="n"/>
    </row>
    <row r="919">
      <c r="K919" s="93" t="n"/>
      <c r="L919" s="78" t="n"/>
      <c r="M919" s="78" t="n"/>
      <c r="N919" s="78" t="n"/>
    </row>
    <row r="920">
      <c r="K920" s="93" t="n"/>
      <c r="L920" s="78" t="n"/>
      <c r="M920" s="78" t="n"/>
      <c r="N920" s="78" t="n"/>
    </row>
    <row r="921">
      <c r="K921" s="93" t="n"/>
      <c r="L921" s="78" t="n"/>
      <c r="M921" s="78" t="n"/>
      <c r="N921" s="78" t="n"/>
    </row>
    <row r="922">
      <c r="K922" s="93" t="n"/>
      <c r="L922" s="78" t="n"/>
      <c r="M922" s="78" t="n"/>
      <c r="N922" s="78" t="n"/>
    </row>
    <row r="923">
      <c r="K923" s="93" t="n"/>
      <c r="L923" s="78" t="n"/>
      <c r="M923" s="78" t="n"/>
      <c r="N923" s="78" t="n"/>
    </row>
    <row r="924">
      <c r="K924" s="93" t="n"/>
      <c r="L924" s="78" t="n"/>
      <c r="M924" s="78" t="n"/>
      <c r="N924" s="78" t="n"/>
    </row>
    <row r="925">
      <c r="K925" s="93" t="n"/>
      <c r="L925" s="78" t="n"/>
      <c r="M925" s="78" t="n"/>
      <c r="N925" s="78" t="n"/>
    </row>
    <row r="926">
      <c r="K926" s="93" t="n"/>
      <c r="L926" s="78" t="n"/>
      <c r="M926" s="78" t="n"/>
      <c r="N926" s="78" t="n"/>
    </row>
    <row r="927">
      <c r="K927" s="93" t="n"/>
      <c r="L927" s="78" t="n"/>
      <c r="M927" s="78" t="n"/>
      <c r="N927" s="78" t="n"/>
    </row>
    <row r="928">
      <c r="K928" s="93" t="n"/>
      <c r="L928" s="78" t="n"/>
      <c r="M928" s="78" t="n"/>
      <c r="N928" s="78" t="n"/>
    </row>
    <row r="929">
      <c r="K929" s="93" t="n"/>
      <c r="L929" s="78" t="n"/>
      <c r="M929" s="78" t="n"/>
      <c r="N929" s="78" t="n"/>
    </row>
    <row r="930">
      <c r="K930" s="93" t="n"/>
      <c r="L930" s="78" t="n"/>
      <c r="M930" s="78" t="n"/>
      <c r="N930" s="78" t="n"/>
    </row>
    <row r="931">
      <c r="K931" s="93" t="n"/>
      <c r="L931" s="78" t="n"/>
      <c r="M931" s="78" t="n"/>
      <c r="N931" s="78" t="n"/>
    </row>
    <row r="932">
      <c r="K932" s="93" t="n"/>
      <c r="L932" s="78" t="n"/>
      <c r="M932" s="78" t="n"/>
      <c r="N932" s="78" t="n"/>
    </row>
    <row r="933">
      <c r="K933" s="93" t="n"/>
      <c r="L933" s="78" t="n"/>
      <c r="M933" s="78" t="n"/>
      <c r="N933" s="78" t="n"/>
    </row>
    <row r="934">
      <c r="K934" s="93" t="n"/>
      <c r="L934" s="78" t="n"/>
      <c r="M934" s="78" t="n"/>
      <c r="N934" s="78" t="n"/>
    </row>
    <row r="935">
      <c r="K935" s="93" t="n"/>
      <c r="L935" s="78" t="n"/>
      <c r="M935" s="78" t="n"/>
      <c r="N935" s="78" t="n"/>
    </row>
    <row r="936">
      <c r="K936" s="93" t="n"/>
      <c r="L936" s="78" t="n"/>
      <c r="M936" s="78" t="n"/>
      <c r="N936" s="78" t="n"/>
    </row>
    <row r="937">
      <c r="K937" s="93" t="n"/>
      <c r="L937" s="78" t="n"/>
      <c r="M937" s="78" t="n"/>
      <c r="N937" s="78" t="n"/>
    </row>
    <row r="938">
      <c r="K938" s="93" t="n"/>
      <c r="L938" s="78" t="n"/>
      <c r="M938" s="78" t="n"/>
      <c r="N938" s="78" t="n"/>
    </row>
    <row r="939">
      <c r="K939" s="93" t="n"/>
      <c r="L939" s="78" t="n"/>
      <c r="M939" s="78" t="n"/>
      <c r="N939" s="78" t="n"/>
    </row>
    <row r="940">
      <c r="K940" s="93" t="n"/>
      <c r="L940" s="78" t="n"/>
      <c r="M940" s="78" t="n"/>
      <c r="N940" s="78" t="n"/>
    </row>
    <row r="941">
      <c r="K941" s="93" t="n"/>
      <c r="L941" s="78" t="n"/>
      <c r="M941" s="78" t="n"/>
      <c r="N941" s="78" t="n"/>
    </row>
    <row r="942">
      <c r="K942" s="93" t="n"/>
      <c r="L942" s="78" t="n"/>
      <c r="M942" s="78" t="n"/>
      <c r="N942" s="78" t="n"/>
    </row>
    <row r="943">
      <c r="K943" s="93" t="n"/>
      <c r="L943" s="78" t="n"/>
      <c r="M943" s="78" t="n"/>
      <c r="N943" s="78" t="n"/>
    </row>
    <row r="944">
      <c r="K944" s="93" t="n"/>
      <c r="L944" s="78" t="n"/>
      <c r="M944" s="78" t="n"/>
      <c r="N944" s="78" t="n"/>
    </row>
    <row r="945">
      <c r="K945" s="93" t="n"/>
      <c r="L945" s="78" t="n"/>
      <c r="M945" s="78" t="n"/>
      <c r="N945" s="78" t="n"/>
    </row>
    <row r="946">
      <c r="K946" s="93" t="n"/>
      <c r="L946" s="78" t="n"/>
      <c r="M946" s="78" t="n"/>
      <c r="N946" s="78" t="n"/>
    </row>
    <row r="947">
      <c r="K947" s="93" t="n"/>
      <c r="L947" s="78" t="n"/>
      <c r="M947" s="78" t="n"/>
      <c r="N947" s="78" t="n"/>
    </row>
    <row r="948">
      <c r="K948" s="93" t="n"/>
      <c r="L948" s="78" t="n"/>
      <c r="M948" s="78" t="n"/>
      <c r="N948" s="78" t="n"/>
    </row>
    <row r="949">
      <c r="K949" s="93" t="n"/>
      <c r="L949" s="78" t="n"/>
      <c r="M949" s="78" t="n"/>
      <c r="N949" s="78" t="n"/>
    </row>
    <row r="950">
      <c r="K950" s="93" t="n"/>
      <c r="L950" s="78" t="n"/>
      <c r="M950" s="78" t="n"/>
      <c r="N950" s="78" t="n"/>
    </row>
    <row r="951">
      <c r="K951" s="93" t="n"/>
      <c r="L951" s="78" t="n"/>
      <c r="M951" s="78" t="n"/>
      <c r="N951" s="78" t="n"/>
    </row>
    <row r="952">
      <c r="K952" s="93" t="n"/>
      <c r="L952" s="78" t="n"/>
      <c r="M952" s="78" t="n"/>
      <c r="N952" s="78" t="n"/>
    </row>
    <row r="953">
      <c r="K953" s="93" t="n"/>
      <c r="L953" s="78" t="n"/>
      <c r="M953" s="78" t="n"/>
      <c r="N953" s="78" t="n"/>
    </row>
    <row r="954">
      <c r="K954" s="93" t="n"/>
      <c r="L954" s="78" t="n"/>
      <c r="M954" s="78" t="n"/>
      <c r="N954" s="78" t="n"/>
    </row>
    <row r="955">
      <c r="K955" s="93" t="n"/>
      <c r="L955" s="78" t="n"/>
      <c r="M955" s="78" t="n"/>
      <c r="N955" s="78" t="n"/>
    </row>
    <row r="956">
      <c r="K956" s="93" t="n"/>
      <c r="L956" s="78" t="n"/>
      <c r="M956" s="78" t="n"/>
      <c r="N956" s="78" t="n"/>
    </row>
    <row r="957">
      <c r="K957" s="93" t="n"/>
      <c r="L957" s="78" t="n"/>
      <c r="M957" s="78" t="n"/>
      <c r="N957" s="78" t="n"/>
    </row>
    <row r="958">
      <c r="K958" s="93" t="n"/>
      <c r="L958" s="78" t="n"/>
      <c r="M958" s="78" t="n"/>
      <c r="N958" s="78" t="n"/>
    </row>
    <row r="959">
      <c r="K959" s="93" t="n"/>
      <c r="L959" s="78" t="n"/>
      <c r="M959" s="78" t="n"/>
      <c r="N959" s="78" t="n"/>
    </row>
    <row r="960">
      <c r="K960" s="93" t="n"/>
      <c r="L960" s="78" t="n"/>
      <c r="M960" s="78" t="n"/>
      <c r="N960" s="78" t="n"/>
    </row>
    <row r="961">
      <c r="K961" s="93" t="n"/>
      <c r="L961" s="78" t="n"/>
      <c r="M961" s="78" t="n"/>
      <c r="N961" s="78" t="n"/>
    </row>
    <row r="962">
      <c r="K962" s="93" t="n"/>
      <c r="L962" s="78" t="n"/>
      <c r="M962" s="78" t="n"/>
      <c r="N962" s="78" t="n"/>
    </row>
    <row r="963">
      <c r="K963" s="93" t="n"/>
      <c r="L963" s="78" t="n"/>
      <c r="M963" s="78" t="n"/>
      <c r="N963" s="78" t="n"/>
    </row>
    <row r="964">
      <c r="K964" s="93" t="n"/>
      <c r="L964" s="78" t="n"/>
      <c r="M964" s="78" t="n"/>
      <c r="N964" s="78" t="n"/>
    </row>
    <row r="965">
      <c r="K965" s="93" t="n"/>
      <c r="L965" s="78" t="n"/>
      <c r="M965" s="78" t="n"/>
      <c r="N965" s="78" t="n"/>
    </row>
    <row r="966">
      <c r="K966" s="93" t="n"/>
      <c r="L966" s="78" t="n"/>
      <c r="M966" s="78" t="n"/>
      <c r="N966" s="78" t="n"/>
    </row>
    <row r="967">
      <c r="K967" s="93" t="n"/>
      <c r="L967" s="78" t="n"/>
      <c r="M967" s="78" t="n"/>
      <c r="N967" s="78" t="n"/>
    </row>
    <row r="968">
      <c r="K968" s="93" t="n"/>
      <c r="L968" s="78" t="n"/>
      <c r="M968" s="78" t="n"/>
      <c r="N968" s="78" t="n"/>
    </row>
    <row r="969">
      <c r="K969" s="93" t="n"/>
      <c r="L969" s="78" t="n"/>
      <c r="M969" s="78" t="n"/>
      <c r="N969" s="78" t="n"/>
    </row>
    <row r="970">
      <c r="K970" s="93" t="n"/>
      <c r="L970" s="78" t="n"/>
      <c r="M970" s="78" t="n"/>
      <c r="N970" s="78" t="n"/>
    </row>
    <row r="971">
      <c r="K971" s="93" t="n"/>
      <c r="L971" s="78" t="n"/>
      <c r="M971" s="78" t="n"/>
      <c r="N971" s="78" t="n"/>
    </row>
    <row r="972">
      <c r="K972" s="93" t="n"/>
      <c r="L972" s="78" t="n"/>
      <c r="M972" s="78" t="n"/>
      <c r="N972" s="78" t="n"/>
    </row>
    <row r="973">
      <c r="K973" s="93" t="n"/>
      <c r="L973" s="78" t="n"/>
      <c r="M973" s="78" t="n"/>
      <c r="N973" s="78" t="n"/>
    </row>
    <row r="974">
      <c r="K974" s="93" t="n"/>
      <c r="L974" s="78" t="n"/>
      <c r="M974" s="78" t="n"/>
      <c r="N974" s="78" t="n"/>
    </row>
    <row r="975">
      <c r="K975" s="93" t="n"/>
      <c r="L975" s="78" t="n"/>
      <c r="M975" s="78" t="n"/>
      <c r="N975" s="78" t="n"/>
    </row>
    <row r="976">
      <c r="K976" s="93" t="n"/>
      <c r="L976" s="78" t="n"/>
      <c r="M976" s="78" t="n"/>
      <c r="N976" s="78" t="n"/>
    </row>
    <row r="977">
      <c r="K977" s="93" t="n"/>
      <c r="L977" s="78" t="n"/>
      <c r="M977" s="78" t="n"/>
      <c r="N977" s="78" t="n"/>
    </row>
    <row r="978">
      <c r="K978" s="93" t="n"/>
      <c r="L978" s="78" t="n"/>
      <c r="M978" s="78" t="n"/>
      <c r="N978" s="78" t="n"/>
    </row>
    <row r="979">
      <c r="K979" s="93" t="n"/>
      <c r="L979" s="78" t="n"/>
      <c r="M979" s="78" t="n"/>
      <c r="N979" s="78" t="n"/>
    </row>
    <row r="980">
      <c r="K980" s="93" t="n"/>
      <c r="L980" s="78" t="n"/>
      <c r="M980" s="78" t="n"/>
      <c r="N980" s="78" t="n"/>
    </row>
    <row r="981">
      <c r="K981" s="93" t="n"/>
      <c r="L981" s="78" t="n"/>
      <c r="M981" s="78" t="n"/>
      <c r="N981" s="78" t="n"/>
    </row>
    <row r="982">
      <c r="K982" s="93" t="n"/>
      <c r="L982" s="78" t="n"/>
      <c r="M982" s="78" t="n"/>
      <c r="N982" s="78" t="n"/>
    </row>
    <row r="983">
      <c r="K983" s="93" t="n"/>
      <c r="L983" s="78" t="n"/>
      <c r="M983" s="78" t="n"/>
      <c r="N983" s="78" t="n"/>
    </row>
    <row r="984">
      <c r="K984" s="93" t="n"/>
      <c r="L984" s="78" t="n"/>
      <c r="M984" s="78" t="n"/>
      <c r="N984" s="78" t="n"/>
    </row>
    <row r="985">
      <c r="K985" s="93" t="n"/>
      <c r="L985" s="78" t="n"/>
      <c r="M985" s="78" t="n"/>
      <c r="N985" s="78" t="n"/>
    </row>
    <row r="986">
      <c r="K986" s="93" t="n"/>
      <c r="L986" s="78" t="n"/>
      <c r="M986" s="78" t="n"/>
      <c r="N986" s="78" t="n"/>
    </row>
    <row r="987">
      <c r="K987" s="93" t="n"/>
      <c r="L987" s="78" t="n"/>
      <c r="M987" s="78" t="n"/>
      <c r="N987" s="78" t="n"/>
    </row>
    <row r="988">
      <c r="K988" s="93" t="n"/>
      <c r="L988" s="78" t="n"/>
      <c r="M988" s="78" t="n"/>
      <c r="N988" s="78" t="n"/>
    </row>
    <row r="989">
      <c r="K989" s="93" t="n"/>
      <c r="L989" s="78" t="n"/>
      <c r="M989" s="78" t="n"/>
      <c r="N989" s="78" t="n"/>
    </row>
    <row r="990">
      <c r="K990" s="93" t="n"/>
      <c r="L990" s="78" t="n"/>
      <c r="M990" s="78" t="n"/>
      <c r="N990" s="78" t="n"/>
    </row>
    <row r="991">
      <c r="K991" s="93" t="n"/>
      <c r="L991" s="78" t="n"/>
      <c r="M991" s="78" t="n"/>
      <c r="N991" s="78" t="n"/>
    </row>
    <row r="992">
      <c r="K992" s="93" t="n"/>
      <c r="L992" s="78" t="n"/>
      <c r="M992" s="78" t="n"/>
      <c r="N992" s="78" t="n"/>
    </row>
    <row r="993">
      <c r="K993" s="93" t="n"/>
      <c r="L993" s="78" t="n"/>
      <c r="M993" s="78" t="n"/>
      <c r="N993" s="78" t="n"/>
    </row>
    <row r="994">
      <c r="K994" s="93" t="n"/>
      <c r="L994" s="78" t="n"/>
      <c r="M994" s="78" t="n"/>
      <c r="N994" s="78" t="n"/>
    </row>
    <row r="995">
      <c r="K995" s="93" t="n"/>
      <c r="L995" s="78" t="n"/>
      <c r="M995" s="78" t="n"/>
      <c r="N995" s="78" t="n"/>
    </row>
    <row r="996">
      <c r="K996" s="93" t="n"/>
      <c r="L996" s="78" t="n"/>
      <c r="M996" s="78" t="n"/>
      <c r="N996" s="78" t="n"/>
    </row>
    <row r="997">
      <c r="K997" s="93" t="n"/>
      <c r="L997" s="78" t="n"/>
      <c r="M997" s="78" t="n"/>
      <c r="N997" s="78" t="n"/>
    </row>
    <row r="998">
      <c r="K998" s="93" t="n"/>
      <c r="L998" s="78" t="n"/>
      <c r="M998" s="78" t="n"/>
      <c r="N998" s="78" t="n"/>
    </row>
    <row r="999">
      <c r="K999" s="93" t="n"/>
      <c r="L999" s="78" t="n"/>
      <c r="M999" s="78" t="n"/>
      <c r="N999" s="78" t="n"/>
    </row>
    <row r="1000">
      <c r="K1000" s="93" t="n"/>
      <c r="L1000" s="78" t="n"/>
      <c r="M1000" s="78" t="n"/>
      <c r="N1000" s="78" t="n"/>
    </row>
    <row r="1001">
      <c r="K1001" s="93" t="n"/>
      <c r="L1001" s="78" t="n"/>
      <c r="M1001" s="78" t="n"/>
      <c r="N1001" s="78" t="n"/>
    </row>
  </sheetData>
  <dataValidations count="2">
    <dataValidation sqref="L2:L1001" showDropDown="0" showInputMessage="0" showErrorMessage="0" allowBlank="0" type="list">
      <formula1>legenda!$B$2:$B$6</formula1>
    </dataValidation>
    <dataValidation sqref="M2:M1001" showDropDown="0" showInputMessage="0" showErrorMessage="0" allowBlank="0" type="list">
      <formula1>legenda!$F$2:$F$12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001"/>
  <sheetViews>
    <sheetView workbookViewId="0">
      <selection activeCell="A1" sqref="A1"/>
    </sheetView>
  </sheetViews>
  <sheetFormatPr baseColWidth="8" defaultRowHeight="15"/>
  <cols>
    <col width="8" customWidth="1" style="72" min="1" max="1"/>
    <col width="28" customWidth="1" style="72" min="2" max="2"/>
    <col width="14" customWidth="1" style="72" min="3" max="3"/>
    <col width="28" customWidth="1" style="72" min="4" max="4"/>
    <col width="18" customWidth="1" style="72" min="5" max="5"/>
    <col width="12" customWidth="1" style="72" min="6" max="6"/>
    <col width="14" customWidth="1" style="72" min="7" max="7"/>
    <col width="16" customWidth="1" style="72" min="8" max="8"/>
    <col width="18" customWidth="1" style="72" min="9" max="9"/>
    <col width="14" customWidth="1" style="72" min="10" max="10"/>
    <col width="14" customWidth="1" style="72" min="11" max="11"/>
    <col width="15" customWidth="1" style="72" min="12" max="12"/>
    <col width="18" customWidth="1" style="72" min="13" max="13"/>
    <col width="24" customWidth="1" style="72" min="14" max="14"/>
    <col width="26" customWidth="1" style="72" min="15" max="15"/>
    <col width="14" customWidth="1" style="72" min="17" max="17"/>
    <col width="40" customWidth="1" style="72" min="18" max="18"/>
  </cols>
  <sheetData>
    <row r="1" ht="22" customHeight="1" s="72">
      <c r="A1" s="12" t="inlineStr">
        <is>
          <t>ID</t>
        </is>
      </c>
      <c r="B1" s="13" t="inlineStr">
        <is>
          <t>Nome do inscrito(a)</t>
        </is>
      </c>
      <c r="C1" s="89" t="inlineStr">
        <is>
          <t>Data de inscrição</t>
        </is>
      </c>
      <c r="D1" s="13" t="inlineStr">
        <is>
          <t>E-mail</t>
        </is>
      </c>
      <c r="E1" s="13" t="inlineStr">
        <is>
          <t>Contato</t>
        </is>
      </c>
      <c r="F1" s="13" t="inlineStr">
        <is>
          <t>Região</t>
        </is>
      </c>
      <c r="G1" s="13" t="inlineStr">
        <is>
          <t>Turma</t>
        </is>
      </c>
      <c r="H1" s="13" t="inlineStr">
        <is>
          <t>Idade</t>
        </is>
      </c>
      <c r="I1" s="13" t="inlineStr">
        <is>
          <t>Renda Familiar</t>
        </is>
      </c>
      <c r="J1" s="13" t="inlineStr">
        <is>
          <t>Equipe Example Organization</t>
        </is>
      </c>
      <c r="K1" s="91" t="inlineStr">
        <is>
          <t>Agendamento</t>
        </is>
      </c>
      <c r="L1" s="80" t="inlineStr">
        <is>
          <t>Status</t>
        </is>
      </c>
      <c r="M1" s="80" t="inlineStr">
        <is>
          <t>Motivo</t>
        </is>
      </c>
      <c r="N1" s="80" t="inlineStr">
        <is>
          <t>Comentários</t>
        </is>
      </c>
      <c r="O1" s="14" t="inlineStr">
        <is>
          <t>Pendências</t>
        </is>
      </c>
      <c r="Q1" s="26" t="inlineStr">
        <is>
          <t>Equipe</t>
        </is>
      </c>
      <c r="R1" s="27" t="inlineStr">
        <is>
          <t>Observação</t>
        </is>
      </c>
    </row>
    <row r="2">
      <c r="A2" s="17">
        <f>IFERROR(FILTER(Candidatos!A2:J1001,Candidatos!J2:J1001="Team C"),"")</f>
        <v/>
      </c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92" t="n"/>
      <c r="L2" s="76" t="n"/>
      <c r="M2" s="76" t="n"/>
      <c r="N2" s="76" t="n"/>
      <c r="O2" s="17">
        <f t="array" ref="O2:O1001">BYROW(HSTACK(B2:B1001,J2:L1001),LAMBDA(r,IF(INDEX(r,1,1)="","",TEXTJOIN(" | ",TRUE,IF(INDEX(r,1,2)="","Sem equipe",""),IF(INDEX(r,1,3)="","Sem agendamento",""),IF(INDEX(r,1,4)="","Sem status","")))))</f>
        <v/>
      </c>
      <c r="Q2" s="17" t="inlineStr">
        <is>
          <t>Team C</t>
        </is>
      </c>
      <c r="R2" s="17" t="inlineStr">
        <is>
          <t>Dados cadastrais automáticos. Edite Agendamento, Status, Motivo e Comentários nas colunas K:N.</t>
        </is>
      </c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92" t="n"/>
      <c r="L3" s="76" t="n"/>
      <c r="M3" s="76" t="n"/>
      <c r="N3" s="76" t="n"/>
      <c r="O3" s="17" t="str"/>
      <c r="Q3" s="17" t="inlineStr">
        <is>
          <t>Total</t>
        </is>
      </c>
      <c r="R3" s="17">
        <f>COUNTIFS(Candidatos!B2:B1001,"?*",Candidatos!J2:J1001,"Team C")</f>
        <v/>
      </c>
    </row>
    <row r="4">
      <c r="A4" s="17" t="n"/>
      <c r="B4" s="17" t="n"/>
      <c r="C4" s="17" t="n"/>
      <c r="D4" s="17" t="n"/>
      <c r="E4" s="17" t="n"/>
      <c r="F4" s="17" t="n"/>
      <c r="G4" s="17" t="n"/>
      <c r="H4" s="17" t="n"/>
      <c r="I4" s="17" t="n"/>
      <c r="J4" s="17" t="n"/>
      <c r="K4" s="92" t="n"/>
      <c r="L4" s="76" t="n"/>
      <c r="M4" s="76" t="n"/>
      <c r="N4" s="76" t="n"/>
      <c r="O4" s="17" t="str"/>
    </row>
    <row r="5">
      <c r="A5" s="17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92" t="n"/>
      <c r="L5" s="76" t="n"/>
      <c r="M5" s="76" t="n"/>
      <c r="N5" s="76" t="n"/>
      <c r="O5" s="17" t="str"/>
    </row>
    <row r="6">
      <c r="A6" s="17" t="n"/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92" t="n"/>
      <c r="L6" s="76" t="n"/>
      <c r="M6" s="76" t="n"/>
      <c r="N6" s="76" t="n"/>
      <c r="O6" s="17" t="str"/>
    </row>
    <row r="7">
      <c r="A7" s="17" t="n"/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92" t="n"/>
      <c r="L7" s="76" t="n"/>
      <c r="M7" s="76" t="n"/>
      <c r="N7" s="76" t="n"/>
      <c r="O7" s="17" t="str"/>
    </row>
    <row r="8">
      <c r="A8" s="17" t="n"/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92" t="n"/>
      <c r="L8" s="76" t="n"/>
      <c r="M8" s="76" t="n"/>
      <c r="N8" s="76" t="n"/>
      <c r="O8" s="17" t="str"/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92" t="n"/>
      <c r="L9" s="76" t="n"/>
      <c r="M9" s="76" t="n"/>
      <c r="N9" s="76" t="n"/>
      <c r="O9" s="17" t="str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92" t="n"/>
      <c r="L10" s="76" t="n"/>
      <c r="M10" s="76" t="n"/>
      <c r="N10" s="76" t="n"/>
      <c r="O10" s="17" t="str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92" t="n"/>
      <c r="L11" s="76" t="n"/>
      <c r="M11" s="76" t="n"/>
      <c r="N11" s="76" t="n"/>
      <c r="O11" s="17" t="str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92" t="n"/>
      <c r="L12" s="76" t="n"/>
      <c r="M12" s="76" t="n"/>
      <c r="N12" s="76" t="n"/>
      <c r="O12" s="17" t="str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92" t="n"/>
      <c r="L13" s="76" t="n"/>
      <c r="M13" s="76" t="n"/>
      <c r="N13" s="76" t="n"/>
      <c r="O13" s="17" t="str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92" t="n"/>
      <c r="L14" s="76" t="n"/>
      <c r="M14" s="76" t="n"/>
      <c r="N14" s="76" t="n"/>
      <c r="O14" s="17" t="str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92" t="n"/>
      <c r="L15" s="76" t="n"/>
      <c r="M15" s="76" t="n"/>
      <c r="N15" s="76" t="n"/>
      <c r="O15" s="17" t="str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92" t="n"/>
      <c r="L16" s="76" t="n"/>
      <c r="M16" s="76" t="n"/>
      <c r="N16" s="76" t="n"/>
      <c r="O16" s="17" t="str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92" t="n"/>
      <c r="L17" s="76" t="n"/>
      <c r="M17" s="76" t="n"/>
      <c r="N17" s="76" t="n"/>
      <c r="O17" s="17" t="str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92" t="n"/>
      <c r="L18" s="76" t="n"/>
      <c r="M18" s="76" t="n"/>
      <c r="N18" s="76" t="n"/>
      <c r="O18" s="17" t="str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92" t="n"/>
      <c r="L19" s="76" t="n"/>
      <c r="M19" s="76" t="n"/>
      <c r="N19" s="76" t="n"/>
      <c r="O19" s="17" t="str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92" t="n"/>
      <c r="L20" s="76" t="n"/>
      <c r="M20" s="76" t="n"/>
      <c r="N20" s="76" t="n"/>
      <c r="O20" s="17" t="str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92" t="n"/>
      <c r="L21" s="76" t="n"/>
      <c r="M21" s="76" t="n"/>
      <c r="N21" s="76" t="n"/>
      <c r="O21" s="17" t="str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92" t="n"/>
      <c r="L22" s="76" t="n"/>
      <c r="M22" s="76" t="n"/>
      <c r="N22" s="76" t="n"/>
      <c r="O22" s="17" t="str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92" t="n"/>
      <c r="L23" s="76" t="n"/>
      <c r="M23" s="76" t="n"/>
      <c r="N23" s="76" t="n"/>
      <c r="O23" s="17" t="str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92" t="n"/>
      <c r="L24" s="76" t="n"/>
      <c r="M24" s="76" t="n"/>
      <c r="N24" s="76" t="n"/>
      <c r="O24" s="17" t="str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92" t="n"/>
      <c r="L25" s="76" t="n"/>
      <c r="M25" s="76" t="n"/>
      <c r="N25" s="76" t="n"/>
      <c r="O25" s="17" t="str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92" t="n"/>
      <c r="L26" s="76" t="n"/>
      <c r="M26" s="76" t="n"/>
      <c r="N26" s="76" t="n"/>
      <c r="O26" s="17" t="str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92" t="n"/>
      <c r="L27" s="76" t="n"/>
      <c r="M27" s="76" t="n"/>
      <c r="N27" s="76" t="n"/>
      <c r="O27" s="17" t="str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92" t="n"/>
      <c r="L28" s="76" t="n"/>
      <c r="M28" s="76" t="n"/>
      <c r="N28" s="76" t="n"/>
      <c r="O28" s="17" t="str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92" t="n"/>
      <c r="L29" s="76" t="n"/>
      <c r="M29" s="76" t="n"/>
      <c r="N29" s="76" t="n"/>
      <c r="O29" s="17" t="str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92" t="n"/>
      <c r="L30" s="76" t="n"/>
      <c r="M30" s="76" t="n"/>
      <c r="N30" s="76" t="n"/>
      <c r="O30" s="17" t="str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92" t="n"/>
      <c r="L31" s="76" t="n"/>
      <c r="M31" s="76" t="n"/>
      <c r="N31" s="76" t="n"/>
      <c r="O31" s="17" t="str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92" t="n"/>
      <c r="L32" s="76" t="n"/>
      <c r="M32" s="76" t="n"/>
      <c r="N32" s="76" t="n"/>
      <c r="O32" s="17" t="str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92" t="n"/>
      <c r="L33" s="76" t="n"/>
      <c r="M33" s="76" t="n"/>
      <c r="N33" s="76" t="n"/>
      <c r="O33" s="17" t="str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92" t="n"/>
      <c r="L34" s="76" t="n"/>
      <c r="M34" s="76" t="n"/>
      <c r="N34" s="76" t="n"/>
      <c r="O34" s="17" t="str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92" t="n"/>
      <c r="L35" s="76" t="n"/>
      <c r="M35" s="76" t="n"/>
      <c r="N35" s="76" t="n"/>
      <c r="O35" s="17" t="str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92" t="n"/>
      <c r="L36" s="76" t="n"/>
      <c r="M36" s="76" t="n"/>
      <c r="N36" s="76" t="n"/>
      <c r="O36" s="17" t="str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92" t="n"/>
      <c r="L37" s="76" t="n"/>
      <c r="M37" s="76" t="n"/>
      <c r="N37" s="76" t="n"/>
      <c r="O37" s="17" t="str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92" t="n"/>
      <c r="L38" s="76" t="n"/>
      <c r="M38" s="76" t="n"/>
      <c r="N38" s="76" t="n"/>
      <c r="O38" s="17" t="str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92" t="n"/>
      <c r="L39" s="76" t="n"/>
      <c r="M39" s="76" t="n"/>
      <c r="N39" s="76" t="n"/>
      <c r="O39" s="17" t="str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92" t="n"/>
      <c r="L40" s="76" t="n"/>
      <c r="M40" s="76" t="n"/>
      <c r="N40" s="76" t="n"/>
      <c r="O40" s="17" t="str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92" t="n"/>
      <c r="L41" s="76" t="n"/>
      <c r="M41" s="76" t="n"/>
      <c r="N41" s="76" t="n"/>
      <c r="O41" s="17" t="str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92" t="n"/>
      <c r="L42" s="76" t="n"/>
      <c r="M42" s="76" t="n"/>
      <c r="N42" s="76" t="n"/>
      <c r="O42" s="17" t="str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92" t="n"/>
      <c r="L43" s="76" t="n"/>
      <c r="M43" s="76" t="n"/>
      <c r="N43" s="76" t="n"/>
      <c r="O43" s="17" t="str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92" t="n"/>
      <c r="L44" s="76" t="n"/>
      <c r="M44" s="76" t="n"/>
      <c r="N44" s="76" t="n"/>
      <c r="O44" s="17" t="str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92" t="n"/>
      <c r="L45" s="76" t="n"/>
      <c r="M45" s="76" t="n"/>
      <c r="N45" s="76" t="n"/>
      <c r="O45" s="17" t="str"/>
    </row>
    <row r="46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92" t="n"/>
      <c r="L46" s="76" t="n"/>
      <c r="M46" s="76" t="n"/>
      <c r="N46" s="76" t="n"/>
      <c r="O46" s="17" t="str"/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92" t="n"/>
      <c r="L47" s="76" t="n"/>
      <c r="M47" s="76" t="n"/>
      <c r="N47" s="76" t="n"/>
      <c r="O47" s="17" t="str"/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92" t="n"/>
      <c r="L48" s="76" t="n"/>
      <c r="M48" s="76" t="n"/>
      <c r="N48" s="76" t="n"/>
      <c r="O48" s="17" t="str"/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92" t="n"/>
      <c r="L49" s="76" t="n"/>
      <c r="M49" s="76" t="n"/>
      <c r="N49" s="76" t="n"/>
      <c r="O49" s="17" t="str"/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92" t="n"/>
      <c r="L50" s="76" t="n"/>
      <c r="M50" s="76" t="n"/>
      <c r="N50" s="76" t="n"/>
      <c r="O50" s="17" t="str"/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92" t="n"/>
      <c r="L51" s="76" t="n"/>
      <c r="M51" s="76" t="n"/>
      <c r="N51" s="76" t="n"/>
      <c r="O51" s="17" t="str"/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92" t="n"/>
      <c r="L52" s="76" t="n"/>
      <c r="M52" s="76" t="n"/>
      <c r="N52" s="76" t="n"/>
      <c r="O52" s="17" t="str"/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92" t="n"/>
      <c r="L53" s="76" t="n"/>
      <c r="M53" s="76" t="n"/>
      <c r="N53" s="76" t="n"/>
      <c r="O53" s="17" t="str"/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92" t="n"/>
      <c r="L54" s="76" t="n"/>
      <c r="M54" s="76" t="n"/>
      <c r="N54" s="76" t="n"/>
      <c r="O54" s="17" t="str"/>
    </row>
    <row r="55">
      <c r="A55" s="17" t="n"/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92" t="n"/>
      <c r="L55" s="76" t="n"/>
      <c r="M55" s="76" t="n"/>
      <c r="N55" s="76" t="n"/>
      <c r="O55" s="17" t="str"/>
    </row>
    <row r="56">
      <c r="A56" s="17" t="n"/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92" t="n"/>
      <c r="L56" s="76" t="n"/>
      <c r="M56" s="76" t="n"/>
      <c r="N56" s="76" t="n"/>
      <c r="O56" s="17" t="str"/>
    </row>
    <row r="57">
      <c r="A57" s="17" t="n"/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92" t="n"/>
      <c r="L57" s="76" t="n"/>
      <c r="M57" s="76" t="n"/>
      <c r="N57" s="76" t="n"/>
      <c r="O57" s="17" t="str"/>
    </row>
    <row r="58">
      <c r="A58" s="17" t="n"/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92" t="n"/>
      <c r="L58" s="76" t="n"/>
      <c r="M58" s="76" t="n"/>
      <c r="N58" s="76" t="n"/>
      <c r="O58" s="17" t="str"/>
    </row>
    <row r="59">
      <c r="A59" s="17" t="n"/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92" t="n"/>
      <c r="L59" s="76" t="n"/>
      <c r="M59" s="76" t="n"/>
      <c r="N59" s="76" t="n"/>
      <c r="O59" s="17" t="str"/>
    </row>
    <row r="60">
      <c r="A60" s="17" t="n"/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92" t="n"/>
      <c r="L60" s="76" t="n"/>
      <c r="M60" s="76" t="n"/>
      <c r="N60" s="76" t="n"/>
      <c r="O60" s="17" t="str"/>
    </row>
    <row r="61">
      <c r="A61" s="17" t="n"/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92" t="n"/>
      <c r="L61" s="76" t="n"/>
      <c r="M61" s="76" t="n"/>
      <c r="N61" s="76" t="n"/>
      <c r="O61" s="17" t="str"/>
    </row>
    <row r="62">
      <c r="A62" s="17" t="n"/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92" t="n"/>
      <c r="L62" s="76" t="n"/>
      <c r="M62" s="76" t="n"/>
      <c r="N62" s="76" t="n"/>
      <c r="O62" s="17" t="str"/>
    </row>
    <row r="63">
      <c r="A63" s="17" t="n"/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92" t="n"/>
      <c r="L63" s="76" t="n"/>
      <c r="M63" s="76" t="n"/>
      <c r="N63" s="76" t="n"/>
      <c r="O63" s="17" t="str"/>
    </row>
    <row r="64">
      <c r="A64" s="17" t="n"/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92" t="n"/>
      <c r="L64" s="76" t="n"/>
      <c r="M64" s="76" t="n"/>
      <c r="N64" s="76" t="n"/>
      <c r="O64" s="17" t="str"/>
    </row>
    <row r="65">
      <c r="A65" s="17" t="n"/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92" t="n"/>
      <c r="L65" s="76" t="n"/>
      <c r="M65" s="76" t="n"/>
      <c r="N65" s="76" t="n"/>
      <c r="O65" s="17" t="str"/>
    </row>
    <row r="66">
      <c r="A66" s="17" t="n"/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92" t="n"/>
      <c r="L66" s="76" t="n"/>
      <c r="M66" s="76" t="n"/>
      <c r="N66" s="76" t="n"/>
      <c r="O66" s="17" t="str"/>
    </row>
    <row r="67">
      <c r="A67" s="17" t="n"/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92" t="n"/>
      <c r="L67" s="76" t="n"/>
      <c r="M67" s="76" t="n"/>
      <c r="N67" s="76" t="n"/>
      <c r="O67" s="17" t="str"/>
    </row>
    <row r="68">
      <c r="A68" s="17" t="n"/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92" t="n"/>
      <c r="L68" s="76" t="n"/>
      <c r="M68" s="76" t="n"/>
      <c r="N68" s="76" t="n"/>
      <c r="O68" s="17" t="str"/>
    </row>
    <row r="69">
      <c r="A69" s="17" t="n"/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92" t="n"/>
      <c r="L69" s="76" t="n"/>
      <c r="M69" s="76" t="n"/>
      <c r="N69" s="76" t="n"/>
      <c r="O69" s="17" t="str"/>
    </row>
    <row r="70">
      <c r="A70" s="17" t="n"/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92" t="n"/>
      <c r="L70" s="76" t="n"/>
      <c r="M70" s="76" t="n"/>
      <c r="N70" s="76" t="n"/>
      <c r="O70" s="17" t="str"/>
    </row>
    <row r="71">
      <c r="A71" s="17" t="n"/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92" t="n"/>
      <c r="L71" s="76" t="n"/>
      <c r="M71" s="76" t="n"/>
      <c r="N71" s="76" t="n"/>
      <c r="O71" s="17" t="str"/>
    </row>
    <row r="72">
      <c r="A72" s="17" t="n"/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92" t="n"/>
      <c r="L72" s="76" t="n"/>
      <c r="M72" s="76" t="n"/>
      <c r="N72" s="76" t="n"/>
      <c r="O72" s="17" t="str"/>
    </row>
    <row r="73">
      <c r="A73" s="17" t="n"/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92" t="n"/>
      <c r="L73" s="76" t="n"/>
      <c r="M73" s="76" t="n"/>
      <c r="N73" s="76" t="n"/>
      <c r="O73" s="17" t="str"/>
    </row>
    <row r="74">
      <c r="A74" s="17" t="n"/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92" t="n"/>
      <c r="L74" s="76" t="n"/>
      <c r="M74" s="76" t="n"/>
      <c r="N74" s="76" t="n"/>
      <c r="O74" s="17" t="str"/>
    </row>
    <row r="75">
      <c r="A75" s="17" t="n"/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92" t="n"/>
      <c r="L75" s="76" t="n"/>
      <c r="M75" s="76" t="n"/>
      <c r="N75" s="76" t="n"/>
      <c r="O75" s="17" t="str"/>
    </row>
    <row r="76">
      <c r="A76" s="17" t="n"/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92" t="n"/>
      <c r="L76" s="76" t="n"/>
      <c r="M76" s="76" t="n"/>
      <c r="N76" s="76" t="n"/>
      <c r="O76" s="17" t="str"/>
    </row>
    <row r="77">
      <c r="A77" s="17" t="n"/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92" t="n"/>
      <c r="L77" s="76" t="n"/>
      <c r="M77" s="76" t="n"/>
      <c r="N77" s="76" t="n"/>
      <c r="O77" s="17" t="str"/>
    </row>
    <row r="78">
      <c r="A78" s="17" t="n"/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92" t="n"/>
      <c r="L78" s="76" t="n"/>
      <c r="M78" s="76" t="n"/>
      <c r="N78" s="76" t="n"/>
      <c r="O78" s="17" t="str"/>
    </row>
    <row r="79">
      <c r="A79" s="17" t="n"/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92" t="n"/>
      <c r="L79" s="76" t="n"/>
      <c r="M79" s="76" t="n"/>
      <c r="N79" s="76" t="n"/>
      <c r="O79" s="17" t="str"/>
    </row>
    <row r="80">
      <c r="A80" s="17" t="n"/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92" t="n"/>
      <c r="L80" s="76" t="n"/>
      <c r="M80" s="76" t="n"/>
      <c r="N80" s="76" t="n"/>
      <c r="O80" s="17" t="str"/>
    </row>
    <row r="81">
      <c r="A81" s="17" t="n"/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92" t="n"/>
      <c r="L81" s="76" t="n"/>
      <c r="M81" s="76" t="n"/>
      <c r="N81" s="76" t="n"/>
      <c r="O81" s="17" t="str"/>
    </row>
    <row r="82">
      <c r="A82" s="17" t="n"/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92" t="n"/>
      <c r="L82" s="76" t="n"/>
      <c r="M82" s="76" t="n"/>
      <c r="N82" s="76" t="n"/>
      <c r="O82" s="17" t="str"/>
    </row>
    <row r="83">
      <c r="A83" s="17" t="n"/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92" t="n"/>
      <c r="L83" s="76" t="n"/>
      <c r="M83" s="76" t="n"/>
      <c r="N83" s="76" t="n"/>
      <c r="O83" s="17" t="str"/>
    </row>
    <row r="84">
      <c r="A84" s="17" t="n"/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92" t="n"/>
      <c r="L84" s="76" t="n"/>
      <c r="M84" s="76" t="n"/>
      <c r="N84" s="76" t="n"/>
      <c r="O84" s="17" t="str"/>
    </row>
    <row r="85">
      <c r="A85" s="17" t="n"/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92" t="n"/>
      <c r="L85" s="76" t="n"/>
      <c r="M85" s="76" t="n"/>
      <c r="N85" s="76" t="n"/>
      <c r="O85" s="17" t="str"/>
    </row>
    <row r="86">
      <c r="A86" s="17" t="n"/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92" t="n"/>
      <c r="L86" s="76" t="n"/>
      <c r="M86" s="76" t="n"/>
      <c r="N86" s="76" t="n"/>
      <c r="O86" s="17" t="str"/>
    </row>
    <row r="87">
      <c r="A87" s="17" t="n"/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92" t="n"/>
      <c r="L87" s="76" t="n"/>
      <c r="M87" s="76" t="n"/>
      <c r="N87" s="76" t="n"/>
      <c r="O87" s="17" t="str"/>
    </row>
    <row r="88">
      <c r="A88" s="17" t="n"/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92" t="n"/>
      <c r="L88" s="76" t="n"/>
      <c r="M88" s="76" t="n"/>
      <c r="N88" s="76" t="n"/>
      <c r="O88" s="17" t="str"/>
    </row>
    <row r="89">
      <c r="A89" s="17" t="n"/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92" t="n"/>
      <c r="L89" s="76" t="n"/>
      <c r="M89" s="76" t="n"/>
      <c r="N89" s="76" t="n"/>
      <c r="O89" s="17" t="str"/>
    </row>
    <row r="90">
      <c r="A90" s="17" t="n"/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92" t="n"/>
      <c r="L90" s="76" t="n"/>
      <c r="M90" s="76" t="n"/>
      <c r="N90" s="76" t="n"/>
      <c r="O90" s="17" t="str"/>
    </row>
    <row r="91">
      <c r="A91" s="17" t="n"/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92" t="n"/>
      <c r="L91" s="76" t="n"/>
      <c r="M91" s="76" t="n"/>
      <c r="N91" s="76" t="n"/>
      <c r="O91" s="17" t="str"/>
    </row>
    <row r="92">
      <c r="A92" s="17" t="n"/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92" t="n"/>
      <c r="L92" s="76" t="n"/>
      <c r="M92" s="76" t="n"/>
      <c r="N92" s="76" t="n"/>
      <c r="O92" s="17" t="str"/>
    </row>
    <row r="93">
      <c r="A93" s="17" t="n"/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92" t="n"/>
      <c r="L93" s="76" t="n"/>
      <c r="M93" s="76" t="n"/>
      <c r="N93" s="76" t="n"/>
      <c r="O93" s="17" t="str"/>
    </row>
    <row r="94">
      <c r="A94" s="17" t="n"/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92" t="n"/>
      <c r="L94" s="76" t="n"/>
      <c r="M94" s="76" t="n"/>
      <c r="N94" s="76" t="n"/>
      <c r="O94" s="17" t="str"/>
    </row>
    <row r="95">
      <c r="A95" s="17" t="n"/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92" t="n"/>
      <c r="L95" s="76" t="n"/>
      <c r="M95" s="76" t="n"/>
      <c r="N95" s="76" t="n"/>
      <c r="O95" s="17" t="str"/>
    </row>
    <row r="96">
      <c r="A96" s="17" t="n"/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92" t="n"/>
      <c r="L96" s="76" t="n"/>
      <c r="M96" s="76" t="n"/>
      <c r="N96" s="76" t="n"/>
      <c r="O96" s="17" t="str"/>
    </row>
    <row r="97">
      <c r="A97" s="17" t="n"/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92" t="n"/>
      <c r="L97" s="76" t="n"/>
      <c r="M97" s="76" t="n"/>
      <c r="N97" s="76" t="n"/>
      <c r="O97" s="17" t="str"/>
    </row>
    <row r="98">
      <c r="A98" s="17" t="n"/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92" t="n"/>
      <c r="L98" s="76" t="n"/>
      <c r="M98" s="76" t="n"/>
      <c r="N98" s="76" t="n"/>
      <c r="O98" s="17" t="str"/>
    </row>
    <row r="99">
      <c r="A99" s="17" t="n"/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92" t="n"/>
      <c r="L99" s="76" t="n"/>
      <c r="M99" s="76" t="n"/>
      <c r="N99" s="76" t="n"/>
      <c r="O99" s="17" t="str"/>
    </row>
    <row r="100">
      <c r="A100" s="17" t="n"/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92" t="n"/>
      <c r="L100" s="76" t="n"/>
      <c r="M100" s="76" t="n"/>
      <c r="N100" s="76" t="n"/>
      <c r="O100" s="17" t="str"/>
    </row>
    <row r="101">
      <c r="A101" s="17" t="n"/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92" t="n"/>
      <c r="L101" s="76" t="n"/>
      <c r="M101" s="76" t="n"/>
      <c r="N101" s="76" t="n"/>
      <c r="O101" s="17" t="str"/>
    </row>
    <row r="102">
      <c r="A102" s="17" t="n"/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92" t="n"/>
      <c r="L102" s="76" t="n"/>
      <c r="M102" s="76" t="n"/>
      <c r="N102" s="76" t="n"/>
      <c r="O102" s="17" t="str"/>
    </row>
    <row r="103">
      <c r="A103" s="17" t="n"/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92" t="n"/>
      <c r="L103" s="76" t="n"/>
      <c r="M103" s="76" t="n"/>
      <c r="N103" s="76" t="n"/>
      <c r="O103" s="17" t="str"/>
    </row>
    <row r="104">
      <c r="A104" s="17" t="n"/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92" t="n"/>
      <c r="L104" s="76" t="n"/>
      <c r="M104" s="76" t="n"/>
      <c r="N104" s="76" t="n"/>
      <c r="O104" s="17" t="str"/>
    </row>
    <row r="105">
      <c r="A105" s="17" t="n"/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92" t="n"/>
      <c r="L105" s="76" t="n"/>
      <c r="M105" s="76" t="n"/>
      <c r="N105" s="76" t="n"/>
      <c r="O105" s="17" t="str"/>
    </row>
    <row r="106">
      <c r="A106" s="17" t="n"/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92" t="n"/>
      <c r="L106" s="76" t="n"/>
      <c r="M106" s="76" t="n"/>
      <c r="N106" s="76" t="n"/>
      <c r="O106" s="17" t="str"/>
    </row>
    <row r="107">
      <c r="A107" s="17" t="n"/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92" t="n"/>
      <c r="L107" s="76" t="n"/>
      <c r="M107" s="76" t="n"/>
      <c r="N107" s="76" t="n"/>
      <c r="O107" s="17" t="str"/>
    </row>
    <row r="108">
      <c r="A108" s="17" t="n"/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92" t="n"/>
      <c r="L108" s="76" t="n"/>
      <c r="M108" s="76" t="n"/>
      <c r="N108" s="76" t="n"/>
      <c r="O108" s="17" t="str"/>
    </row>
    <row r="109">
      <c r="A109" s="17" t="n"/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92" t="n"/>
      <c r="L109" s="76" t="n"/>
      <c r="M109" s="76" t="n"/>
      <c r="N109" s="76" t="n"/>
      <c r="O109" s="17" t="str"/>
    </row>
    <row r="110">
      <c r="A110" s="17" t="n"/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92" t="n"/>
      <c r="L110" s="76" t="n"/>
      <c r="M110" s="76" t="n"/>
      <c r="N110" s="76" t="n"/>
      <c r="O110" s="17" t="str"/>
    </row>
    <row r="111">
      <c r="A111" s="17" t="n"/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92" t="n"/>
      <c r="L111" s="76" t="n"/>
      <c r="M111" s="76" t="n"/>
      <c r="N111" s="76" t="n"/>
      <c r="O111" s="17" t="str"/>
    </row>
    <row r="112">
      <c r="A112" s="17" t="n"/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92" t="n"/>
      <c r="L112" s="76" t="n"/>
      <c r="M112" s="76" t="n"/>
      <c r="N112" s="76" t="n"/>
      <c r="O112" s="17" t="str"/>
    </row>
    <row r="113">
      <c r="A113" s="17" t="n"/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92" t="n"/>
      <c r="L113" s="76" t="n"/>
      <c r="M113" s="76" t="n"/>
      <c r="N113" s="76" t="n"/>
      <c r="O113" s="17" t="str"/>
    </row>
    <row r="114">
      <c r="A114" s="17" t="n"/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92" t="n"/>
      <c r="L114" s="76" t="n"/>
      <c r="M114" s="76" t="n"/>
      <c r="N114" s="76" t="n"/>
      <c r="O114" s="17" t="str"/>
    </row>
    <row r="115">
      <c r="A115" s="17" t="n"/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92" t="n"/>
      <c r="L115" s="76" t="n"/>
      <c r="M115" s="76" t="n"/>
      <c r="N115" s="76" t="n"/>
      <c r="O115" s="17" t="str"/>
    </row>
    <row r="116">
      <c r="A116" s="17" t="n"/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92" t="n"/>
      <c r="L116" s="76" t="n"/>
      <c r="M116" s="76" t="n"/>
      <c r="N116" s="76" t="n"/>
      <c r="O116" s="17" t="str"/>
    </row>
    <row r="117">
      <c r="A117" s="17" t="n"/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92" t="n"/>
      <c r="L117" s="76" t="n"/>
      <c r="M117" s="76" t="n"/>
      <c r="N117" s="76" t="n"/>
      <c r="O117" s="17" t="str"/>
    </row>
    <row r="118">
      <c r="A118" s="17" t="n"/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92" t="n"/>
      <c r="L118" s="76" t="n"/>
      <c r="M118" s="76" t="n"/>
      <c r="N118" s="76" t="n"/>
      <c r="O118" s="17" t="str"/>
    </row>
    <row r="119">
      <c r="A119" s="17" t="n"/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92" t="n"/>
      <c r="L119" s="76" t="n"/>
      <c r="M119" s="76" t="n"/>
      <c r="N119" s="76" t="n"/>
      <c r="O119" s="17" t="str"/>
    </row>
    <row r="120">
      <c r="A120" s="17" t="n"/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92" t="n"/>
      <c r="L120" s="76" t="n"/>
      <c r="M120" s="76" t="n"/>
      <c r="N120" s="76" t="n"/>
      <c r="O120" s="17" t="str"/>
    </row>
    <row r="121">
      <c r="A121" s="17" t="n"/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92" t="n"/>
      <c r="L121" s="76" t="n"/>
      <c r="M121" s="76" t="n"/>
      <c r="N121" s="76" t="n"/>
      <c r="O121" s="17" t="str"/>
    </row>
    <row r="122">
      <c r="A122" s="17" t="n"/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92" t="n"/>
      <c r="L122" s="76" t="n"/>
      <c r="M122" s="76" t="n"/>
      <c r="N122" s="76" t="n"/>
      <c r="O122" s="17" t="str"/>
    </row>
    <row r="123">
      <c r="A123" s="17" t="n"/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92" t="n"/>
      <c r="L123" s="76" t="n"/>
      <c r="M123" s="76" t="n"/>
      <c r="N123" s="76" t="n"/>
      <c r="O123" s="17" t="str"/>
    </row>
    <row r="124">
      <c r="A124" s="17" t="n"/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92" t="n"/>
      <c r="L124" s="76" t="n"/>
      <c r="M124" s="76" t="n"/>
      <c r="N124" s="76" t="n"/>
      <c r="O124" s="17" t="str"/>
    </row>
    <row r="125">
      <c r="A125" s="17" t="n"/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92" t="n"/>
      <c r="L125" s="76" t="n"/>
      <c r="M125" s="76" t="n"/>
      <c r="N125" s="76" t="n"/>
      <c r="O125" s="17" t="str"/>
    </row>
    <row r="126">
      <c r="A126" s="17" t="n"/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92" t="n"/>
      <c r="L126" s="76" t="n"/>
      <c r="M126" s="76" t="n"/>
      <c r="N126" s="76" t="n"/>
      <c r="O126" s="17" t="str"/>
    </row>
    <row r="127">
      <c r="A127" s="17" t="n"/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92" t="n"/>
      <c r="L127" s="76" t="n"/>
      <c r="M127" s="76" t="n"/>
      <c r="N127" s="76" t="n"/>
      <c r="O127" s="17" t="str"/>
    </row>
    <row r="128">
      <c r="A128" s="17" t="n"/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92" t="n"/>
      <c r="L128" s="76" t="n"/>
      <c r="M128" s="76" t="n"/>
      <c r="N128" s="76" t="n"/>
      <c r="O128" s="17" t="str"/>
    </row>
    <row r="129">
      <c r="A129" s="17" t="n"/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92" t="n"/>
      <c r="L129" s="76" t="n"/>
      <c r="M129" s="76" t="n"/>
      <c r="N129" s="76" t="n"/>
      <c r="O129" s="17" t="str"/>
    </row>
    <row r="130">
      <c r="A130" s="17" t="n"/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92" t="n"/>
      <c r="L130" s="76" t="n"/>
      <c r="M130" s="76" t="n"/>
      <c r="N130" s="76" t="n"/>
      <c r="O130" s="17" t="str"/>
    </row>
    <row r="131">
      <c r="A131" s="17" t="n"/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92" t="n"/>
      <c r="L131" s="76" t="n"/>
      <c r="M131" s="76" t="n"/>
      <c r="N131" s="76" t="n"/>
      <c r="O131" s="17" t="str"/>
    </row>
    <row r="132">
      <c r="A132" s="17" t="n"/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92" t="n"/>
      <c r="L132" s="76" t="n"/>
      <c r="M132" s="76" t="n"/>
      <c r="N132" s="76" t="n"/>
      <c r="O132" s="17" t="str"/>
    </row>
    <row r="133">
      <c r="A133" s="17" t="n"/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92" t="n"/>
      <c r="L133" s="76" t="n"/>
      <c r="M133" s="76" t="n"/>
      <c r="N133" s="76" t="n"/>
      <c r="O133" s="17" t="str"/>
    </row>
    <row r="134">
      <c r="A134" s="17" t="n"/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92" t="n"/>
      <c r="L134" s="76" t="n"/>
      <c r="M134" s="76" t="n"/>
      <c r="N134" s="76" t="n"/>
      <c r="O134" s="17" t="str"/>
    </row>
    <row r="135">
      <c r="A135" s="17" t="n"/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92" t="n"/>
      <c r="L135" s="76" t="n"/>
      <c r="M135" s="76" t="n"/>
      <c r="N135" s="76" t="n"/>
      <c r="O135" s="17" t="str"/>
    </row>
    <row r="136">
      <c r="A136" s="17" t="n"/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92" t="n"/>
      <c r="L136" s="76" t="n"/>
      <c r="M136" s="76" t="n"/>
      <c r="N136" s="76" t="n"/>
      <c r="O136" s="17" t="str"/>
    </row>
    <row r="137">
      <c r="A137" s="17" t="n"/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92" t="n"/>
      <c r="L137" s="76" t="n"/>
      <c r="M137" s="76" t="n"/>
      <c r="N137" s="76" t="n"/>
      <c r="O137" s="17" t="str"/>
    </row>
    <row r="138">
      <c r="A138" s="17" t="n"/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92" t="n"/>
      <c r="L138" s="76" t="n"/>
      <c r="M138" s="76" t="n"/>
      <c r="N138" s="76" t="n"/>
      <c r="O138" s="17" t="str"/>
    </row>
    <row r="139">
      <c r="A139" s="17" t="n"/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92" t="n"/>
      <c r="L139" s="76" t="n"/>
      <c r="M139" s="76" t="n"/>
      <c r="N139" s="76" t="n"/>
      <c r="O139" s="17" t="str"/>
    </row>
    <row r="140">
      <c r="A140" s="17" t="n"/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92" t="n"/>
      <c r="L140" s="76" t="n"/>
      <c r="M140" s="76" t="n"/>
      <c r="N140" s="76" t="n"/>
      <c r="O140" s="17" t="str"/>
    </row>
    <row r="141">
      <c r="A141" s="17" t="n"/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92" t="n"/>
      <c r="L141" s="76" t="n"/>
      <c r="M141" s="76" t="n"/>
      <c r="N141" s="76" t="n"/>
      <c r="O141" s="17" t="str"/>
    </row>
    <row r="142">
      <c r="A142" s="17" t="n"/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92" t="n"/>
      <c r="L142" s="76" t="n"/>
      <c r="M142" s="76" t="n"/>
      <c r="N142" s="76" t="n"/>
      <c r="O142" s="17" t="str"/>
    </row>
    <row r="143">
      <c r="A143" s="17" t="n"/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92" t="n"/>
      <c r="L143" s="76" t="n"/>
      <c r="M143" s="76" t="n"/>
      <c r="N143" s="76" t="n"/>
      <c r="O143" s="17" t="str"/>
    </row>
    <row r="144">
      <c r="A144" s="17" t="n"/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92" t="n"/>
      <c r="L144" s="76" t="n"/>
      <c r="M144" s="76" t="n"/>
      <c r="N144" s="76" t="n"/>
      <c r="O144" s="17" t="str"/>
    </row>
    <row r="145">
      <c r="A145" s="17" t="n"/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92" t="n"/>
      <c r="L145" s="76" t="n"/>
      <c r="M145" s="76" t="n"/>
      <c r="N145" s="76" t="n"/>
      <c r="O145" s="17" t="str"/>
    </row>
    <row r="146">
      <c r="A146" s="17" t="n"/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92" t="n"/>
      <c r="L146" s="76" t="n"/>
      <c r="M146" s="76" t="n"/>
      <c r="N146" s="76" t="n"/>
      <c r="O146" s="17" t="str"/>
    </row>
    <row r="147">
      <c r="A147" s="17" t="n"/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92" t="n"/>
      <c r="L147" s="76" t="n"/>
      <c r="M147" s="76" t="n"/>
      <c r="N147" s="76" t="n"/>
      <c r="O147" s="17" t="str"/>
    </row>
    <row r="148">
      <c r="A148" s="17" t="n"/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92" t="n"/>
      <c r="L148" s="76" t="n"/>
      <c r="M148" s="76" t="n"/>
      <c r="N148" s="76" t="n"/>
      <c r="O148" s="17" t="str"/>
    </row>
    <row r="149">
      <c r="A149" s="17" t="n"/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92" t="n"/>
      <c r="L149" s="76" t="n"/>
      <c r="M149" s="76" t="n"/>
      <c r="N149" s="76" t="n"/>
      <c r="O149" s="17" t="str"/>
    </row>
    <row r="150">
      <c r="A150" s="17" t="n"/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92" t="n"/>
      <c r="L150" s="76" t="n"/>
      <c r="M150" s="76" t="n"/>
      <c r="N150" s="76" t="n"/>
      <c r="O150" s="17" t="str"/>
    </row>
    <row r="151">
      <c r="A151" s="17" t="n"/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92" t="n"/>
      <c r="L151" s="76" t="n"/>
      <c r="M151" s="76" t="n"/>
      <c r="N151" s="76" t="n"/>
      <c r="O151" s="17" t="str"/>
    </row>
    <row r="152">
      <c r="A152" s="17" t="n"/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92" t="n"/>
      <c r="L152" s="76" t="n"/>
      <c r="M152" s="76" t="n"/>
      <c r="N152" s="76" t="n"/>
      <c r="O152" s="17" t="str"/>
    </row>
    <row r="153">
      <c r="A153" s="17" t="n"/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92" t="n"/>
      <c r="L153" s="76" t="n"/>
      <c r="M153" s="76" t="n"/>
      <c r="N153" s="76" t="n"/>
      <c r="O153" s="17" t="str"/>
    </row>
    <row r="154">
      <c r="A154" s="17" t="n"/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92" t="n"/>
      <c r="L154" s="76" t="n"/>
      <c r="M154" s="76" t="n"/>
      <c r="N154" s="76" t="n"/>
      <c r="O154" s="17" t="str"/>
    </row>
    <row r="155">
      <c r="A155" s="17" t="n"/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92" t="n"/>
      <c r="L155" s="76" t="n"/>
      <c r="M155" s="76" t="n"/>
      <c r="N155" s="76" t="n"/>
      <c r="O155" s="17" t="str"/>
    </row>
    <row r="156">
      <c r="A156" s="17" t="n"/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92" t="n"/>
      <c r="L156" s="76" t="n"/>
      <c r="M156" s="76" t="n"/>
      <c r="N156" s="76" t="n"/>
      <c r="O156" s="17" t="str"/>
    </row>
    <row r="157">
      <c r="A157" s="17" t="n"/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92" t="n"/>
      <c r="L157" s="76" t="n"/>
      <c r="M157" s="76" t="n"/>
      <c r="N157" s="76" t="n"/>
      <c r="O157" s="17" t="str"/>
    </row>
    <row r="158">
      <c r="A158" s="17" t="n"/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92" t="n"/>
      <c r="L158" s="76" t="n"/>
      <c r="M158" s="76" t="n"/>
      <c r="N158" s="76" t="n"/>
      <c r="O158" s="17" t="str"/>
    </row>
    <row r="159">
      <c r="A159" s="17" t="n"/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92" t="n"/>
      <c r="L159" s="76" t="n"/>
      <c r="M159" s="76" t="n"/>
      <c r="N159" s="76" t="n"/>
      <c r="O159" s="17" t="str"/>
    </row>
    <row r="160">
      <c r="A160" s="17" t="n"/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92" t="n"/>
      <c r="L160" s="76" t="n"/>
      <c r="M160" s="76" t="n"/>
      <c r="N160" s="76" t="n"/>
      <c r="O160" s="17" t="str"/>
    </row>
    <row r="161">
      <c r="A161" s="17" t="n"/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92" t="n"/>
      <c r="L161" s="76" t="n"/>
      <c r="M161" s="76" t="n"/>
      <c r="N161" s="76" t="n"/>
      <c r="O161" s="17" t="str"/>
    </row>
    <row r="162">
      <c r="A162" s="17" t="n"/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92" t="n"/>
      <c r="L162" s="76" t="n"/>
      <c r="M162" s="76" t="n"/>
      <c r="N162" s="76" t="n"/>
      <c r="O162" s="17" t="str"/>
    </row>
    <row r="163">
      <c r="A163" s="17" t="n"/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92" t="n"/>
      <c r="L163" s="76" t="n"/>
      <c r="M163" s="76" t="n"/>
      <c r="N163" s="76" t="n"/>
      <c r="O163" s="17" t="str"/>
    </row>
    <row r="164">
      <c r="A164" s="17" t="n"/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92" t="n"/>
      <c r="L164" s="76" t="n"/>
      <c r="M164" s="76" t="n"/>
      <c r="N164" s="76" t="n"/>
      <c r="O164" s="17" t="str"/>
    </row>
    <row r="165">
      <c r="A165" s="17" t="n"/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92" t="n"/>
      <c r="L165" s="76" t="n"/>
      <c r="M165" s="76" t="n"/>
      <c r="N165" s="76" t="n"/>
      <c r="O165" s="17" t="str"/>
    </row>
    <row r="166">
      <c r="A166" s="17" t="n"/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92" t="n"/>
      <c r="L166" s="76" t="n"/>
      <c r="M166" s="76" t="n"/>
      <c r="N166" s="76" t="n"/>
      <c r="O166" s="17" t="str"/>
    </row>
    <row r="167">
      <c r="A167" s="17" t="n"/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92" t="n"/>
      <c r="L167" s="76" t="n"/>
      <c r="M167" s="76" t="n"/>
      <c r="N167" s="76" t="n"/>
      <c r="O167" s="17" t="str"/>
    </row>
    <row r="168">
      <c r="A168" s="17" t="n"/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92" t="n"/>
      <c r="L168" s="76" t="n"/>
      <c r="M168" s="76" t="n"/>
      <c r="N168" s="76" t="n"/>
      <c r="O168" s="17" t="str"/>
    </row>
    <row r="169">
      <c r="A169" s="17" t="n"/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92" t="n"/>
      <c r="L169" s="76" t="n"/>
      <c r="M169" s="76" t="n"/>
      <c r="N169" s="76" t="n"/>
      <c r="O169" s="17" t="str"/>
    </row>
    <row r="170">
      <c r="A170" s="17" t="n"/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92" t="n"/>
      <c r="L170" s="76" t="n"/>
      <c r="M170" s="76" t="n"/>
      <c r="N170" s="76" t="n"/>
      <c r="O170" s="17" t="str"/>
    </row>
    <row r="171">
      <c r="A171" s="17" t="n"/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92" t="n"/>
      <c r="L171" s="76" t="n"/>
      <c r="M171" s="76" t="n"/>
      <c r="N171" s="76" t="n"/>
      <c r="O171" s="17" t="str"/>
    </row>
    <row r="172">
      <c r="A172" s="17" t="n"/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92" t="n"/>
      <c r="L172" s="76" t="n"/>
      <c r="M172" s="76" t="n"/>
      <c r="N172" s="76" t="n"/>
      <c r="O172" s="17" t="str"/>
    </row>
    <row r="173">
      <c r="A173" s="17" t="n"/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92" t="n"/>
      <c r="L173" s="76" t="n"/>
      <c r="M173" s="76" t="n"/>
      <c r="N173" s="76" t="n"/>
      <c r="O173" s="17" t="str"/>
    </row>
    <row r="174">
      <c r="A174" s="17" t="n"/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92" t="n"/>
      <c r="L174" s="76" t="n"/>
      <c r="M174" s="76" t="n"/>
      <c r="N174" s="76" t="n"/>
      <c r="O174" s="17" t="str"/>
    </row>
    <row r="175">
      <c r="A175" s="17" t="n"/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92" t="n"/>
      <c r="L175" s="76" t="n"/>
      <c r="M175" s="76" t="n"/>
      <c r="N175" s="76" t="n"/>
      <c r="O175" s="17" t="str"/>
    </row>
    <row r="176">
      <c r="A176" s="17" t="n"/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92" t="n"/>
      <c r="L176" s="76" t="n"/>
      <c r="M176" s="76" t="n"/>
      <c r="N176" s="76" t="n"/>
      <c r="O176" s="17" t="str"/>
    </row>
    <row r="177">
      <c r="A177" s="17" t="n"/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92" t="n"/>
      <c r="L177" s="76" t="n"/>
      <c r="M177" s="76" t="n"/>
      <c r="N177" s="76" t="n"/>
      <c r="O177" s="17" t="str"/>
    </row>
    <row r="178">
      <c r="A178" s="17" t="n"/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92" t="n"/>
      <c r="L178" s="76" t="n"/>
      <c r="M178" s="76" t="n"/>
      <c r="N178" s="76" t="n"/>
      <c r="O178" s="17" t="str"/>
    </row>
    <row r="179">
      <c r="A179" s="17" t="n"/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92" t="n"/>
      <c r="L179" s="76" t="n"/>
      <c r="M179" s="76" t="n"/>
      <c r="N179" s="76" t="n"/>
      <c r="O179" s="17" t="str"/>
    </row>
    <row r="180">
      <c r="A180" s="17" t="n"/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92" t="n"/>
      <c r="L180" s="76" t="n"/>
      <c r="M180" s="76" t="n"/>
      <c r="N180" s="76" t="n"/>
      <c r="O180" s="17" t="str"/>
    </row>
    <row r="181">
      <c r="A181" s="17" t="n"/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92" t="n"/>
      <c r="L181" s="76" t="n"/>
      <c r="M181" s="76" t="n"/>
      <c r="N181" s="76" t="n"/>
      <c r="O181" s="17" t="str"/>
    </row>
    <row r="182">
      <c r="A182" s="17" t="n"/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92" t="n"/>
      <c r="L182" s="76" t="n"/>
      <c r="M182" s="76" t="n"/>
      <c r="N182" s="76" t="n"/>
      <c r="O182" s="17" t="str"/>
    </row>
    <row r="183">
      <c r="A183" s="17" t="n"/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92" t="n"/>
      <c r="L183" s="76" t="n"/>
      <c r="M183" s="76" t="n"/>
      <c r="N183" s="76" t="n"/>
      <c r="O183" s="17" t="str"/>
    </row>
    <row r="184">
      <c r="A184" s="17" t="n"/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92" t="n"/>
      <c r="L184" s="76" t="n"/>
      <c r="M184" s="76" t="n"/>
      <c r="N184" s="76" t="n"/>
      <c r="O184" s="17" t="str"/>
    </row>
    <row r="185">
      <c r="A185" s="17" t="n"/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92" t="n"/>
      <c r="L185" s="76" t="n"/>
      <c r="M185" s="76" t="n"/>
      <c r="N185" s="76" t="n"/>
      <c r="O185" s="17" t="str"/>
    </row>
    <row r="186">
      <c r="A186" s="17" t="n"/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92" t="n"/>
      <c r="L186" s="76" t="n"/>
      <c r="M186" s="76" t="n"/>
      <c r="N186" s="76" t="n"/>
      <c r="O186" s="17" t="str"/>
    </row>
    <row r="187">
      <c r="A187" s="17" t="n"/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92" t="n"/>
      <c r="L187" s="76" t="n"/>
      <c r="M187" s="76" t="n"/>
      <c r="N187" s="76" t="n"/>
      <c r="O187" s="17" t="str"/>
    </row>
    <row r="188">
      <c r="A188" s="17" t="n"/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92" t="n"/>
      <c r="L188" s="76" t="n"/>
      <c r="M188" s="76" t="n"/>
      <c r="N188" s="76" t="n"/>
      <c r="O188" s="17" t="str"/>
    </row>
    <row r="189">
      <c r="A189" s="17" t="n"/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92" t="n"/>
      <c r="L189" s="76" t="n"/>
      <c r="M189" s="76" t="n"/>
      <c r="N189" s="76" t="n"/>
      <c r="O189" s="17" t="str"/>
    </row>
    <row r="190">
      <c r="A190" s="17" t="n"/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92" t="n"/>
      <c r="L190" s="76" t="n"/>
      <c r="M190" s="76" t="n"/>
      <c r="N190" s="76" t="n"/>
      <c r="O190" s="17" t="str"/>
    </row>
    <row r="191">
      <c r="A191" s="17" t="n"/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92" t="n"/>
      <c r="L191" s="76" t="n"/>
      <c r="M191" s="76" t="n"/>
      <c r="N191" s="76" t="n"/>
      <c r="O191" s="17" t="str"/>
    </row>
    <row r="192">
      <c r="A192" s="17" t="n"/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92" t="n"/>
      <c r="L192" s="76" t="n"/>
      <c r="M192" s="76" t="n"/>
      <c r="N192" s="76" t="n"/>
      <c r="O192" s="17" t="str"/>
    </row>
    <row r="193">
      <c r="A193" s="17" t="n"/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92" t="n"/>
      <c r="L193" s="76" t="n"/>
      <c r="M193" s="76" t="n"/>
      <c r="N193" s="76" t="n"/>
      <c r="O193" s="17" t="str"/>
    </row>
    <row r="194">
      <c r="A194" s="17" t="n"/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92" t="n"/>
      <c r="L194" s="76" t="n"/>
      <c r="M194" s="76" t="n"/>
      <c r="N194" s="76" t="n"/>
      <c r="O194" s="17" t="str"/>
    </row>
    <row r="195">
      <c r="A195" s="17" t="n"/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92" t="n"/>
      <c r="L195" s="76" t="n"/>
      <c r="M195" s="76" t="n"/>
      <c r="N195" s="76" t="n"/>
      <c r="O195" s="17" t="str"/>
    </row>
    <row r="196">
      <c r="A196" s="17" t="n"/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92" t="n"/>
      <c r="L196" s="76" t="n"/>
      <c r="M196" s="76" t="n"/>
      <c r="N196" s="76" t="n"/>
      <c r="O196" s="17" t="str"/>
    </row>
    <row r="197">
      <c r="A197" s="17" t="n"/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92" t="n"/>
      <c r="L197" s="76" t="n"/>
      <c r="M197" s="76" t="n"/>
      <c r="N197" s="76" t="n"/>
      <c r="O197" s="17" t="str"/>
    </row>
    <row r="198">
      <c r="A198" s="17" t="n"/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92" t="n"/>
      <c r="L198" s="76" t="n"/>
      <c r="M198" s="76" t="n"/>
      <c r="N198" s="76" t="n"/>
      <c r="O198" s="17" t="str"/>
    </row>
    <row r="199">
      <c r="A199" s="17" t="n"/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92" t="n"/>
      <c r="L199" s="76" t="n"/>
      <c r="M199" s="76" t="n"/>
      <c r="N199" s="76" t="n"/>
      <c r="O199" s="17" t="str"/>
    </row>
    <row r="200">
      <c r="A200" s="17" t="n"/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92" t="n"/>
      <c r="L200" s="76" t="n"/>
      <c r="M200" s="76" t="n"/>
      <c r="N200" s="76" t="n"/>
      <c r="O200" s="17" t="str"/>
    </row>
    <row r="201">
      <c r="K201" s="93" t="n"/>
      <c r="L201" s="78" t="n"/>
      <c r="M201" s="78" t="n"/>
      <c r="N201" s="78" t="n"/>
    </row>
    <row r="202">
      <c r="K202" s="93" t="n"/>
      <c r="L202" s="78" t="n"/>
      <c r="M202" s="78" t="n"/>
      <c r="N202" s="78" t="n"/>
    </row>
    <row r="203">
      <c r="K203" s="93" t="n"/>
      <c r="L203" s="78" t="n"/>
      <c r="M203" s="78" t="n"/>
      <c r="N203" s="78" t="n"/>
    </row>
    <row r="204">
      <c r="K204" s="93" t="n"/>
      <c r="L204" s="78" t="n"/>
      <c r="M204" s="78" t="n"/>
      <c r="N204" s="78" t="n"/>
    </row>
    <row r="205">
      <c r="K205" s="93" t="n"/>
      <c r="L205" s="78" t="n"/>
      <c r="M205" s="78" t="n"/>
      <c r="N205" s="78" t="n"/>
    </row>
    <row r="206">
      <c r="K206" s="93" t="n"/>
      <c r="L206" s="78" t="n"/>
      <c r="M206" s="78" t="n"/>
      <c r="N206" s="78" t="n"/>
    </row>
    <row r="207">
      <c r="K207" s="93" t="n"/>
      <c r="L207" s="78" t="n"/>
      <c r="M207" s="78" t="n"/>
      <c r="N207" s="78" t="n"/>
    </row>
    <row r="208">
      <c r="K208" s="93" t="n"/>
      <c r="L208" s="78" t="n"/>
      <c r="M208" s="78" t="n"/>
      <c r="N208" s="78" t="n"/>
    </row>
    <row r="209">
      <c r="K209" s="93" t="n"/>
      <c r="L209" s="78" t="n"/>
      <c r="M209" s="78" t="n"/>
      <c r="N209" s="78" t="n"/>
    </row>
    <row r="210">
      <c r="K210" s="93" t="n"/>
      <c r="L210" s="78" t="n"/>
      <c r="M210" s="78" t="n"/>
      <c r="N210" s="78" t="n"/>
    </row>
    <row r="211">
      <c r="K211" s="93" t="n"/>
      <c r="L211" s="78" t="n"/>
      <c r="M211" s="78" t="n"/>
      <c r="N211" s="78" t="n"/>
    </row>
    <row r="212">
      <c r="K212" s="93" t="n"/>
      <c r="L212" s="78" t="n"/>
      <c r="M212" s="78" t="n"/>
      <c r="N212" s="78" t="n"/>
    </row>
    <row r="213">
      <c r="K213" s="93" t="n"/>
      <c r="L213" s="78" t="n"/>
      <c r="M213" s="78" t="n"/>
      <c r="N213" s="78" t="n"/>
    </row>
    <row r="214">
      <c r="K214" s="93" t="n"/>
      <c r="L214" s="78" t="n"/>
      <c r="M214" s="78" t="n"/>
      <c r="N214" s="78" t="n"/>
    </row>
    <row r="215">
      <c r="K215" s="93" t="n"/>
      <c r="L215" s="78" t="n"/>
      <c r="M215" s="78" t="n"/>
      <c r="N215" s="78" t="n"/>
    </row>
    <row r="216">
      <c r="K216" s="93" t="n"/>
      <c r="L216" s="78" t="n"/>
      <c r="M216" s="78" t="n"/>
      <c r="N216" s="78" t="n"/>
    </row>
    <row r="217">
      <c r="K217" s="93" t="n"/>
      <c r="L217" s="78" t="n"/>
      <c r="M217" s="78" t="n"/>
      <c r="N217" s="78" t="n"/>
    </row>
    <row r="218">
      <c r="K218" s="93" t="n"/>
      <c r="L218" s="78" t="n"/>
      <c r="M218" s="78" t="n"/>
      <c r="N218" s="78" t="n"/>
    </row>
    <row r="219">
      <c r="K219" s="93" t="n"/>
      <c r="L219" s="78" t="n"/>
      <c r="M219" s="78" t="n"/>
      <c r="N219" s="78" t="n"/>
    </row>
    <row r="220">
      <c r="K220" s="93" t="n"/>
      <c r="L220" s="78" t="n"/>
      <c r="M220" s="78" t="n"/>
      <c r="N220" s="78" t="n"/>
    </row>
    <row r="221">
      <c r="K221" s="93" t="n"/>
      <c r="L221" s="78" t="n"/>
      <c r="M221" s="78" t="n"/>
      <c r="N221" s="78" t="n"/>
    </row>
    <row r="222">
      <c r="K222" s="93" t="n"/>
      <c r="L222" s="78" t="n"/>
      <c r="M222" s="78" t="n"/>
      <c r="N222" s="78" t="n"/>
    </row>
    <row r="223">
      <c r="K223" s="93" t="n"/>
      <c r="L223" s="78" t="n"/>
      <c r="M223" s="78" t="n"/>
      <c r="N223" s="78" t="n"/>
    </row>
    <row r="224">
      <c r="K224" s="93" t="n"/>
      <c r="L224" s="78" t="n"/>
      <c r="M224" s="78" t="n"/>
      <c r="N224" s="78" t="n"/>
    </row>
    <row r="225">
      <c r="K225" s="93" t="n"/>
      <c r="L225" s="78" t="n"/>
      <c r="M225" s="78" t="n"/>
      <c r="N225" s="78" t="n"/>
    </row>
    <row r="226">
      <c r="K226" s="93" t="n"/>
      <c r="L226" s="78" t="n"/>
      <c r="M226" s="78" t="n"/>
      <c r="N226" s="78" t="n"/>
    </row>
    <row r="227">
      <c r="K227" s="93" t="n"/>
      <c r="L227" s="78" t="n"/>
      <c r="M227" s="78" t="n"/>
      <c r="N227" s="78" t="n"/>
    </row>
    <row r="228">
      <c r="K228" s="93" t="n"/>
      <c r="L228" s="78" t="n"/>
      <c r="M228" s="78" t="n"/>
      <c r="N228" s="78" t="n"/>
    </row>
    <row r="229">
      <c r="K229" s="93" t="n"/>
      <c r="L229" s="78" t="n"/>
      <c r="M229" s="78" t="n"/>
      <c r="N229" s="78" t="n"/>
    </row>
    <row r="230">
      <c r="K230" s="93" t="n"/>
      <c r="L230" s="78" t="n"/>
      <c r="M230" s="78" t="n"/>
      <c r="N230" s="78" t="n"/>
    </row>
    <row r="231">
      <c r="K231" s="93" t="n"/>
      <c r="L231" s="78" t="n"/>
      <c r="M231" s="78" t="n"/>
      <c r="N231" s="78" t="n"/>
    </row>
    <row r="232">
      <c r="K232" s="93" t="n"/>
      <c r="L232" s="78" t="n"/>
      <c r="M232" s="78" t="n"/>
      <c r="N232" s="78" t="n"/>
    </row>
    <row r="233">
      <c r="K233" s="93" t="n"/>
      <c r="L233" s="78" t="n"/>
      <c r="M233" s="78" t="n"/>
      <c r="N233" s="78" t="n"/>
    </row>
    <row r="234">
      <c r="K234" s="93" t="n"/>
      <c r="L234" s="78" t="n"/>
      <c r="M234" s="78" t="n"/>
      <c r="N234" s="78" t="n"/>
    </row>
    <row r="235">
      <c r="K235" s="93" t="n"/>
      <c r="L235" s="78" t="n"/>
      <c r="M235" s="78" t="n"/>
      <c r="N235" s="78" t="n"/>
    </row>
    <row r="236">
      <c r="K236" s="93" t="n"/>
      <c r="L236" s="78" t="n"/>
      <c r="M236" s="78" t="n"/>
      <c r="N236" s="78" t="n"/>
    </row>
    <row r="237">
      <c r="K237" s="93" t="n"/>
      <c r="L237" s="78" t="n"/>
      <c r="M237" s="78" t="n"/>
      <c r="N237" s="78" t="n"/>
    </row>
    <row r="238">
      <c r="K238" s="93" t="n"/>
      <c r="L238" s="78" t="n"/>
      <c r="M238" s="78" t="n"/>
      <c r="N238" s="78" t="n"/>
    </row>
    <row r="239">
      <c r="K239" s="93" t="n"/>
      <c r="L239" s="78" t="n"/>
      <c r="M239" s="78" t="n"/>
      <c r="N239" s="78" t="n"/>
    </row>
    <row r="240">
      <c r="K240" s="93" t="n"/>
      <c r="L240" s="78" t="n"/>
      <c r="M240" s="78" t="n"/>
      <c r="N240" s="78" t="n"/>
    </row>
    <row r="241">
      <c r="K241" s="93" t="n"/>
      <c r="L241" s="78" t="n"/>
      <c r="M241" s="78" t="n"/>
      <c r="N241" s="78" t="n"/>
    </row>
    <row r="242">
      <c r="K242" s="93" t="n"/>
      <c r="L242" s="78" t="n"/>
      <c r="M242" s="78" t="n"/>
      <c r="N242" s="78" t="n"/>
    </row>
    <row r="243">
      <c r="K243" s="93" t="n"/>
      <c r="L243" s="78" t="n"/>
      <c r="M243" s="78" t="n"/>
      <c r="N243" s="78" t="n"/>
    </row>
    <row r="244">
      <c r="K244" s="93" t="n"/>
      <c r="L244" s="78" t="n"/>
      <c r="M244" s="78" t="n"/>
      <c r="N244" s="78" t="n"/>
    </row>
    <row r="245">
      <c r="K245" s="93" t="n"/>
      <c r="L245" s="78" t="n"/>
      <c r="M245" s="78" t="n"/>
      <c r="N245" s="78" t="n"/>
    </row>
    <row r="246">
      <c r="K246" s="93" t="n"/>
      <c r="L246" s="78" t="n"/>
      <c r="M246" s="78" t="n"/>
      <c r="N246" s="78" t="n"/>
    </row>
    <row r="247">
      <c r="K247" s="93" t="n"/>
      <c r="L247" s="78" t="n"/>
      <c r="M247" s="78" t="n"/>
      <c r="N247" s="78" t="n"/>
    </row>
    <row r="248">
      <c r="K248" s="93" t="n"/>
      <c r="L248" s="78" t="n"/>
      <c r="M248" s="78" t="n"/>
      <c r="N248" s="78" t="n"/>
    </row>
    <row r="249">
      <c r="K249" s="93" t="n"/>
      <c r="L249" s="78" t="n"/>
      <c r="M249" s="78" t="n"/>
      <c r="N249" s="78" t="n"/>
    </row>
    <row r="250">
      <c r="K250" s="93" t="n"/>
      <c r="L250" s="78" t="n"/>
      <c r="M250" s="78" t="n"/>
      <c r="N250" s="78" t="n"/>
    </row>
    <row r="251">
      <c r="K251" s="93" t="n"/>
      <c r="L251" s="78" t="n"/>
      <c r="M251" s="78" t="n"/>
      <c r="N251" s="78" t="n"/>
    </row>
    <row r="252">
      <c r="K252" s="93" t="n"/>
      <c r="L252" s="78" t="n"/>
      <c r="M252" s="78" t="n"/>
      <c r="N252" s="78" t="n"/>
    </row>
    <row r="253">
      <c r="K253" s="93" t="n"/>
      <c r="L253" s="78" t="n"/>
      <c r="M253" s="78" t="n"/>
      <c r="N253" s="78" t="n"/>
    </row>
    <row r="254">
      <c r="K254" s="93" t="n"/>
      <c r="L254" s="78" t="n"/>
      <c r="M254" s="78" t="n"/>
      <c r="N254" s="78" t="n"/>
    </row>
    <row r="255">
      <c r="K255" s="93" t="n"/>
      <c r="L255" s="78" t="n"/>
      <c r="M255" s="78" t="n"/>
      <c r="N255" s="78" t="n"/>
    </row>
    <row r="256">
      <c r="K256" s="93" t="n"/>
      <c r="L256" s="78" t="n"/>
      <c r="M256" s="78" t="n"/>
      <c r="N256" s="78" t="n"/>
    </row>
    <row r="257">
      <c r="K257" s="93" t="n"/>
      <c r="L257" s="78" t="n"/>
      <c r="M257" s="78" t="n"/>
      <c r="N257" s="78" t="n"/>
    </row>
    <row r="258">
      <c r="K258" s="93" t="n"/>
      <c r="L258" s="78" t="n"/>
      <c r="M258" s="78" t="n"/>
      <c r="N258" s="78" t="n"/>
    </row>
    <row r="259">
      <c r="K259" s="93" t="n"/>
      <c r="L259" s="78" t="n"/>
      <c r="M259" s="78" t="n"/>
      <c r="N259" s="78" t="n"/>
    </row>
    <row r="260">
      <c r="K260" s="93" t="n"/>
      <c r="L260" s="78" t="n"/>
      <c r="M260" s="78" t="n"/>
      <c r="N260" s="78" t="n"/>
    </row>
    <row r="261">
      <c r="K261" s="93" t="n"/>
      <c r="L261" s="78" t="n"/>
      <c r="M261" s="78" t="n"/>
      <c r="N261" s="78" t="n"/>
    </row>
    <row r="262">
      <c r="K262" s="93" t="n"/>
      <c r="L262" s="78" t="n"/>
      <c r="M262" s="78" t="n"/>
      <c r="N262" s="78" t="n"/>
    </row>
    <row r="263">
      <c r="K263" s="93" t="n"/>
      <c r="L263" s="78" t="n"/>
      <c r="M263" s="78" t="n"/>
      <c r="N263" s="78" t="n"/>
    </row>
    <row r="264">
      <c r="K264" s="93" t="n"/>
      <c r="L264" s="78" t="n"/>
      <c r="M264" s="78" t="n"/>
      <c r="N264" s="78" t="n"/>
    </row>
    <row r="265">
      <c r="K265" s="93" t="n"/>
      <c r="L265" s="78" t="n"/>
      <c r="M265" s="78" t="n"/>
      <c r="N265" s="78" t="n"/>
    </row>
    <row r="266">
      <c r="K266" s="93" t="n"/>
      <c r="L266" s="78" t="n"/>
      <c r="M266" s="78" t="n"/>
      <c r="N266" s="78" t="n"/>
    </row>
    <row r="267">
      <c r="K267" s="93" t="n"/>
      <c r="L267" s="78" t="n"/>
      <c r="M267" s="78" t="n"/>
      <c r="N267" s="78" t="n"/>
    </row>
    <row r="268">
      <c r="K268" s="93" t="n"/>
      <c r="L268" s="78" t="n"/>
      <c r="M268" s="78" t="n"/>
      <c r="N268" s="78" t="n"/>
    </row>
    <row r="269">
      <c r="K269" s="93" t="n"/>
      <c r="L269" s="78" t="n"/>
      <c r="M269" s="78" t="n"/>
      <c r="N269" s="78" t="n"/>
    </row>
    <row r="270">
      <c r="K270" s="93" t="n"/>
      <c r="L270" s="78" t="n"/>
      <c r="M270" s="78" t="n"/>
      <c r="N270" s="78" t="n"/>
    </row>
    <row r="271">
      <c r="K271" s="93" t="n"/>
      <c r="L271" s="78" t="n"/>
      <c r="M271" s="78" t="n"/>
      <c r="N271" s="78" t="n"/>
    </row>
    <row r="272">
      <c r="K272" s="93" t="n"/>
      <c r="L272" s="78" t="n"/>
      <c r="M272" s="78" t="n"/>
      <c r="N272" s="78" t="n"/>
    </row>
    <row r="273">
      <c r="K273" s="93" t="n"/>
      <c r="L273" s="78" t="n"/>
      <c r="M273" s="78" t="n"/>
      <c r="N273" s="78" t="n"/>
    </row>
    <row r="274">
      <c r="K274" s="93" t="n"/>
      <c r="L274" s="78" t="n"/>
      <c r="M274" s="78" t="n"/>
      <c r="N274" s="78" t="n"/>
    </row>
    <row r="275">
      <c r="K275" s="93" t="n"/>
      <c r="L275" s="78" t="n"/>
      <c r="M275" s="78" t="n"/>
      <c r="N275" s="78" t="n"/>
    </row>
    <row r="276">
      <c r="K276" s="93" t="n"/>
      <c r="L276" s="78" t="n"/>
      <c r="M276" s="78" t="n"/>
      <c r="N276" s="78" t="n"/>
    </row>
    <row r="277">
      <c r="K277" s="93" t="n"/>
      <c r="L277" s="78" t="n"/>
      <c r="M277" s="78" t="n"/>
      <c r="N277" s="78" t="n"/>
    </row>
    <row r="278">
      <c r="K278" s="93" t="n"/>
      <c r="L278" s="78" t="n"/>
      <c r="M278" s="78" t="n"/>
      <c r="N278" s="78" t="n"/>
    </row>
    <row r="279">
      <c r="K279" s="93" t="n"/>
      <c r="L279" s="78" t="n"/>
      <c r="M279" s="78" t="n"/>
      <c r="N279" s="78" t="n"/>
    </row>
    <row r="280">
      <c r="K280" s="93" t="n"/>
      <c r="L280" s="78" t="n"/>
      <c r="M280" s="78" t="n"/>
      <c r="N280" s="78" t="n"/>
    </row>
    <row r="281">
      <c r="K281" s="93" t="n"/>
      <c r="L281" s="78" t="n"/>
      <c r="M281" s="78" t="n"/>
      <c r="N281" s="78" t="n"/>
    </row>
    <row r="282">
      <c r="K282" s="93" t="n"/>
      <c r="L282" s="78" t="n"/>
      <c r="M282" s="78" t="n"/>
      <c r="N282" s="78" t="n"/>
    </row>
    <row r="283">
      <c r="K283" s="93" t="n"/>
      <c r="L283" s="78" t="n"/>
      <c r="M283" s="78" t="n"/>
      <c r="N283" s="78" t="n"/>
    </row>
    <row r="284">
      <c r="K284" s="93" t="n"/>
      <c r="L284" s="78" t="n"/>
      <c r="M284" s="78" t="n"/>
      <c r="N284" s="78" t="n"/>
    </row>
    <row r="285">
      <c r="K285" s="93" t="n"/>
      <c r="L285" s="78" t="n"/>
      <c r="M285" s="78" t="n"/>
      <c r="N285" s="78" t="n"/>
    </row>
    <row r="286">
      <c r="K286" s="93" t="n"/>
      <c r="L286" s="78" t="n"/>
      <c r="M286" s="78" t="n"/>
      <c r="N286" s="78" t="n"/>
    </row>
    <row r="287">
      <c r="K287" s="93" t="n"/>
      <c r="L287" s="78" t="n"/>
      <c r="M287" s="78" t="n"/>
      <c r="N287" s="78" t="n"/>
    </row>
    <row r="288">
      <c r="K288" s="93" t="n"/>
      <c r="L288" s="78" t="n"/>
      <c r="M288" s="78" t="n"/>
      <c r="N288" s="78" t="n"/>
    </row>
    <row r="289">
      <c r="K289" s="93" t="n"/>
      <c r="L289" s="78" t="n"/>
      <c r="M289" s="78" t="n"/>
      <c r="N289" s="78" t="n"/>
    </row>
    <row r="290">
      <c r="K290" s="93" t="n"/>
      <c r="L290" s="78" t="n"/>
      <c r="M290" s="78" t="n"/>
      <c r="N290" s="78" t="n"/>
    </row>
    <row r="291">
      <c r="K291" s="93" t="n"/>
      <c r="L291" s="78" t="n"/>
      <c r="M291" s="78" t="n"/>
      <c r="N291" s="78" t="n"/>
    </row>
    <row r="292">
      <c r="K292" s="93" t="n"/>
      <c r="L292" s="78" t="n"/>
      <c r="M292" s="78" t="n"/>
      <c r="N292" s="78" t="n"/>
    </row>
    <row r="293">
      <c r="K293" s="93" t="n"/>
      <c r="L293" s="78" t="n"/>
      <c r="M293" s="78" t="n"/>
      <c r="N293" s="78" t="n"/>
    </row>
    <row r="294">
      <c r="K294" s="93" t="n"/>
      <c r="L294" s="78" t="n"/>
      <c r="M294" s="78" t="n"/>
      <c r="N294" s="78" t="n"/>
    </row>
    <row r="295">
      <c r="K295" s="93" t="n"/>
      <c r="L295" s="78" t="n"/>
      <c r="M295" s="78" t="n"/>
      <c r="N295" s="78" t="n"/>
    </row>
    <row r="296">
      <c r="K296" s="93" t="n"/>
      <c r="L296" s="78" t="n"/>
      <c r="M296" s="78" t="n"/>
      <c r="N296" s="78" t="n"/>
    </row>
    <row r="297">
      <c r="K297" s="93" t="n"/>
      <c r="L297" s="78" t="n"/>
      <c r="M297" s="78" t="n"/>
      <c r="N297" s="78" t="n"/>
    </row>
    <row r="298">
      <c r="K298" s="93" t="n"/>
      <c r="L298" s="78" t="n"/>
      <c r="M298" s="78" t="n"/>
      <c r="N298" s="78" t="n"/>
    </row>
    <row r="299">
      <c r="K299" s="93" t="n"/>
      <c r="L299" s="78" t="n"/>
      <c r="M299" s="78" t="n"/>
      <c r="N299" s="78" t="n"/>
    </row>
    <row r="300">
      <c r="K300" s="93" t="n"/>
      <c r="L300" s="78" t="n"/>
      <c r="M300" s="78" t="n"/>
      <c r="N300" s="78" t="n"/>
    </row>
    <row r="301">
      <c r="K301" s="93" t="n"/>
      <c r="L301" s="78" t="n"/>
      <c r="M301" s="78" t="n"/>
      <c r="N301" s="78" t="n"/>
    </row>
    <row r="302">
      <c r="K302" s="93" t="n"/>
      <c r="L302" s="78" t="n"/>
      <c r="M302" s="78" t="n"/>
      <c r="N302" s="78" t="n"/>
    </row>
    <row r="303">
      <c r="K303" s="93" t="n"/>
      <c r="L303" s="78" t="n"/>
      <c r="M303" s="78" t="n"/>
      <c r="N303" s="78" t="n"/>
    </row>
    <row r="304">
      <c r="K304" s="93" t="n"/>
      <c r="L304" s="78" t="n"/>
      <c r="M304" s="78" t="n"/>
      <c r="N304" s="78" t="n"/>
    </row>
    <row r="305">
      <c r="K305" s="93" t="n"/>
      <c r="L305" s="78" t="n"/>
      <c r="M305" s="78" t="n"/>
      <c r="N305" s="78" t="n"/>
    </row>
    <row r="306">
      <c r="K306" s="93" t="n"/>
      <c r="L306" s="78" t="n"/>
      <c r="M306" s="78" t="n"/>
      <c r="N306" s="78" t="n"/>
    </row>
    <row r="307">
      <c r="K307" s="93" t="n"/>
      <c r="L307" s="78" t="n"/>
      <c r="M307" s="78" t="n"/>
      <c r="N307" s="78" t="n"/>
    </row>
    <row r="308">
      <c r="K308" s="93" t="n"/>
      <c r="L308" s="78" t="n"/>
      <c r="M308" s="78" t="n"/>
      <c r="N308" s="78" t="n"/>
    </row>
    <row r="309">
      <c r="K309" s="93" t="n"/>
      <c r="L309" s="78" t="n"/>
      <c r="M309" s="78" t="n"/>
      <c r="N309" s="78" t="n"/>
    </row>
    <row r="310">
      <c r="K310" s="93" t="n"/>
      <c r="L310" s="78" t="n"/>
      <c r="M310" s="78" t="n"/>
      <c r="N310" s="78" t="n"/>
    </row>
    <row r="311">
      <c r="K311" s="93" t="n"/>
      <c r="L311" s="78" t="n"/>
      <c r="M311" s="78" t="n"/>
      <c r="N311" s="78" t="n"/>
    </row>
    <row r="312">
      <c r="K312" s="93" t="n"/>
      <c r="L312" s="78" t="n"/>
      <c r="M312" s="78" t="n"/>
      <c r="N312" s="78" t="n"/>
    </row>
    <row r="313">
      <c r="K313" s="93" t="n"/>
      <c r="L313" s="78" t="n"/>
      <c r="M313" s="78" t="n"/>
      <c r="N313" s="78" t="n"/>
    </row>
    <row r="314">
      <c r="K314" s="93" t="n"/>
      <c r="L314" s="78" t="n"/>
      <c r="M314" s="78" t="n"/>
      <c r="N314" s="78" t="n"/>
    </row>
    <row r="315">
      <c r="K315" s="93" t="n"/>
      <c r="L315" s="78" t="n"/>
      <c r="M315" s="78" t="n"/>
      <c r="N315" s="78" t="n"/>
    </row>
    <row r="316">
      <c r="K316" s="93" t="n"/>
      <c r="L316" s="78" t="n"/>
      <c r="M316" s="78" t="n"/>
      <c r="N316" s="78" t="n"/>
    </row>
    <row r="317">
      <c r="K317" s="93" t="n"/>
      <c r="L317" s="78" t="n"/>
      <c r="M317" s="78" t="n"/>
      <c r="N317" s="78" t="n"/>
    </row>
    <row r="318">
      <c r="K318" s="93" t="n"/>
      <c r="L318" s="78" t="n"/>
      <c r="M318" s="78" t="n"/>
      <c r="N318" s="78" t="n"/>
    </row>
    <row r="319">
      <c r="K319" s="93" t="n"/>
      <c r="L319" s="78" t="n"/>
      <c r="M319" s="78" t="n"/>
      <c r="N319" s="78" t="n"/>
    </row>
    <row r="320">
      <c r="K320" s="93" t="n"/>
      <c r="L320" s="78" t="n"/>
      <c r="M320" s="78" t="n"/>
      <c r="N320" s="78" t="n"/>
    </row>
    <row r="321">
      <c r="K321" s="93" t="n"/>
      <c r="L321" s="78" t="n"/>
      <c r="M321" s="78" t="n"/>
      <c r="N321" s="78" t="n"/>
    </row>
    <row r="322">
      <c r="K322" s="93" t="n"/>
      <c r="L322" s="78" t="n"/>
      <c r="M322" s="78" t="n"/>
      <c r="N322" s="78" t="n"/>
    </row>
    <row r="323">
      <c r="K323" s="93" t="n"/>
      <c r="L323" s="78" t="n"/>
      <c r="M323" s="78" t="n"/>
      <c r="N323" s="78" t="n"/>
    </row>
    <row r="324">
      <c r="K324" s="93" t="n"/>
      <c r="L324" s="78" t="n"/>
      <c r="M324" s="78" t="n"/>
      <c r="N324" s="78" t="n"/>
    </row>
    <row r="325">
      <c r="K325" s="93" t="n"/>
      <c r="L325" s="78" t="n"/>
      <c r="M325" s="78" t="n"/>
      <c r="N325" s="78" t="n"/>
    </row>
    <row r="326">
      <c r="K326" s="93" t="n"/>
      <c r="L326" s="78" t="n"/>
      <c r="M326" s="78" t="n"/>
      <c r="N326" s="78" t="n"/>
    </row>
    <row r="327">
      <c r="K327" s="93" t="n"/>
      <c r="L327" s="78" t="n"/>
      <c r="M327" s="78" t="n"/>
      <c r="N327" s="78" t="n"/>
    </row>
    <row r="328">
      <c r="K328" s="93" t="n"/>
      <c r="L328" s="78" t="n"/>
      <c r="M328" s="78" t="n"/>
      <c r="N328" s="78" t="n"/>
    </row>
    <row r="329">
      <c r="K329" s="93" t="n"/>
      <c r="L329" s="78" t="n"/>
      <c r="M329" s="78" t="n"/>
      <c r="N329" s="78" t="n"/>
    </row>
    <row r="330">
      <c r="K330" s="93" t="n"/>
      <c r="L330" s="78" t="n"/>
      <c r="M330" s="78" t="n"/>
      <c r="N330" s="78" t="n"/>
    </row>
    <row r="331">
      <c r="K331" s="93" t="n"/>
      <c r="L331" s="78" t="n"/>
      <c r="M331" s="78" t="n"/>
      <c r="N331" s="78" t="n"/>
    </row>
    <row r="332">
      <c r="K332" s="93" t="n"/>
      <c r="L332" s="78" t="n"/>
      <c r="M332" s="78" t="n"/>
      <c r="N332" s="78" t="n"/>
    </row>
    <row r="333">
      <c r="K333" s="93" t="n"/>
      <c r="L333" s="78" t="n"/>
      <c r="M333" s="78" t="n"/>
      <c r="N333" s="78" t="n"/>
    </row>
    <row r="334">
      <c r="K334" s="93" t="n"/>
      <c r="L334" s="78" t="n"/>
      <c r="M334" s="78" t="n"/>
      <c r="N334" s="78" t="n"/>
    </row>
    <row r="335">
      <c r="K335" s="93" t="n"/>
      <c r="L335" s="78" t="n"/>
      <c r="M335" s="78" t="n"/>
      <c r="N335" s="78" t="n"/>
    </row>
    <row r="336">
      <c r="K336" s="93" t="n"/>
      <c r="L336" s="78" t="n"/>
      <c r="M336" s="78" t="n"/>
      <c r="N336" s="78" t="n"/>
    </row>
    <row r="337">
      <c r="K337" s="93" t="n"/>
      <c r="L337" s="78" t="n"/>
      <c r="M337" s="78" t="n"/>
      <c r="N337" s="78" t="n"/>
    </row>
    <row r="338">
      <c r="K338" s="93" t="n"/>
      <c r="L338" s="78" t="n"/>
      <c r="M338" s="78" t="n"/>
      <c r="N338" s="78" t="n"/>
    </row>
    <row r="339">
      <c r="K339" s="93" t="n"/>
      <c r="L339" s="78" t="n"/>
      <c r="M339" s="78" t="n"/>
      <c r="N339" s="78" t="n"/>
    </row>
    <row r="340">
      <c r="K340" s="93" t="n"/>
      <c r="L340" s="78" t="n"/>
      <c r="M340" s="78" t="n"/>
      <c r="N340" s="78" t="n"/>
    </row>
    <row r="341">
      <c r="K341" s="93" t="n"/>
      <c r="L341" s="78" t="n"/>
      <c r="M341" s="78" t="n"/>
      <c r="N341" s="78" t="n"/>
    </row>
    <row r="342">
      <c r="K342" s="93" t="n"/>
      <c r="L342" s="78" t="n"/>
      <c r="M342" s="78" t="n"/>
      <c r="N342" s="78" t="n"/>
    </row>
    <row r="343">
      <c r="K343" s="93" t="n"/>
      <c r="L343" s="78" t="n"/>
      <c r="M343" s="78" t="n"/>
      <c r="N343" s="78" t="n"/>
    </row>
    <row r="344">
      <c r="K344" s="93" t="n"/>
      <c r="L344" s="78" t="n"/>
      <c r="M344" s="78" t="n"/>
      <c r="N344" s="78" t="n"/>
    </row>
    <row r="345">
      <c r="K345" s="93" t="n"/>
      <c r="L345" s="78" t="n"/>
      <c r="M345" s="78" t="n"/>
      <c r="N345" s="78" t="n"/>
    </row>
    <row r="346">
      <c r="K346" s="93" t="n"/>
      <c r="L346" s="78" t="n"/>
      <c r="M346" s="78" t="n"/>
      <c r="N346" s="78" t="n"/>
    </row>
    <row r="347">
      <c r="K347" s="93" t="n"/>
      <c r="L347" s="78" t="n"/>
      <c r="M347" s="78" t="n"/>
      <c r="N347" s="78" t="n"/>
    </row>
    <row r="348">
      <c r="K348" s="93" t="n"/>
      <c r="L348" s="78" t="n"/>
      <c r="M348" s="78" t="n"/>
      <c r="N348" s="78" t="n"/>
    </row>
    <row r="349">
      <c r="K349" s="93" t="n"/>
      <c r="L349" s="78" t="n"/>
      <c r="M349" s="78" t="n"/>
      <c r="N349" s="78" t="n"/>
    </row>
    <row r="350">
      <c r="K350" s="93" t="n"/>
      <c r="L350" s="78" t="n"/>
      <c r="M350" s="78" t="n"/>
      <c r="N350" s="78" t="n"/>
    </row>
    <row r="351">
      <c r="K351" s="93" t="n"/>
      <c r="L351" s="78" t="n"/>
      <c r="M351" s="78" t="n"/>
      <c r="N351" s="78" t="n"/>
    </row>
    <row r="352">
      <c r="K352" s="93" t="n"/>
      <c r="L352" s="78" t="n"/>
      <c r="M352" s="78" t="n"/>
      <c r="N352" s="78" t="n"/>
    </row>
    <row r="353">
      <c r="K353" s="93" t="n"/>
      <c r="L353" s="78" t="n"/>
      <c r="M353" s="78" t="n"/>
      <c r="N353" s="78" t="n"/>
    </row>
    <row r="354">
      <c r="K354" s="93" t="n"/>
      <c r="L354" s="78" t="n"/>
      <c r="M354" s="78" t="n"/>
      <c r="N354" s="78" t="n"/>
    </row>
    <row r="355">
      <c r="K355" s="93" t="n"/>
      <c r="L355" s="78" t="n"/>
      <c r="M355" s="78" t="n"/>
      <c r="N355" s="78" t="n"/>
    </row>
    <row r="356">
      <c r="K356" s="93" t="n"/>
      <c r="L356" s="78" t="n"/>
      <c r="M356" s="78" t="n"/>
      <c r="N356" s="78" t="n"/>
    </row>
    <row r="357">
      <c r="K357" s="93" t="n"/>
      <c r="L357" s="78" t="n"/>
      <c r="M357" s="78" t="n"/>
      <c r="N357" s="78" t="n"/>
    </row>
    <row r="358">
      <c r="K358" s="93" t="n"/>
      <c r="L358" s="78" t="n"/>
      <c r="M358" s="78" t="n"/>
      <c r="N358" s="78" t="n"/>
    </row>
    <row r="359">
      <c r="K359" s="93" t="n"/>
      <c r="L359" s="78" t="n"/>
      <c r="M359" s="78" t="n"/>
      <c r="N359" s="78" t="n"/>
    </row>
    <row r="360">
      <c r="K360" s="93" t="n"/>
      <c r="L360" s="78" t="n"/>
      <c r="M360" s="78" t="n"/>
      <c r="N360" s="78" t="n"/>
    </row>
    <row r="361">
      <c r="K361" s="93" t="n"/>
      <c r="L361" s="78" t="n"/>
      <c r="M361" s="78" t="n"/>
      <c r="N361" s="78" t="n"/>
    </row>
    <row r="362">
      <c r="K362" s="93" t="n"/>
      <c r="L362" s="78" t="n"/>
      <c r="M362" s="78" t="n"/>
      <c r="N362" s="78" t="n"/>
    </row>
    <row r="363">
      <c r="K363" s="93" t="n"/>
      <c r="L363" s="78" t="n"/>
      <c r="M363" s="78" t="n"/>
      <c r="N363" s="78" t="n"/>
    </row>
    <row r="364">
      <c r="K364" s="93" t="n"/>
      <c r="L364" s="78" t="n"/>
      <c r="M364" s="78" t="n"/>
      <c r="N364" s="78" t="n"/>
    </row>
    <row r="365">
      <c r="K365" s="93" t="n"/>
      <c r="L365" s="78" t="n"/>
      <c r="M365" s="78" t="n"/>
      <c r="N365" s="78" t="n"/>
    </row>
    <row r="366">
      <c r="K366" s="93" t="n"/>
      <c r="L366" s="78" t="n"/>
      <c r="M366" s="78" t="n"/>
      <c r="N366" s="78" t="n"/>
    </row>
    <row r="367">
      <c r="K367" s="93" t="n"/>
      <c r="L367" s="78" t="n"/>
      <c r="M367" s="78" t="n"/>
      <c r="N367" s="78" t="n"/>
    </row>
    <row r="368">
      <c r="K368" s="93" t="n"/>
      <c r="L368" s="78" t="n"/>
      <c r="M368" s="78" t="n"/>
      <c r="N368" s="78" t="n"/>
    </row>
    <row r="369">
      <c r="K369" s="93" t="n"/>
      <c r="L369" s="78" t="n"/>
      <c r="M369" s="78" t="n"/>
      <c r="N369" s="78" t="n"/>
    </row>
    <row r="370">
      <c r="K370" s="93" t="n"/>
      <c r="L370" s="78" t="n"/>
      <c r="M370" s="78" t="n"/>
      <c r="N370" s="78" t="n"/>
    </row>
    <row r="371">
      <c r="K371" s="93" t="n"/>
      <c r="L371" s="78" t="n"/>
      <c r="M371" s="78" t="n"/>
      <c r="N371" s="78" t="n"/>
    </row>
    <row r="372">
      <c r="K372" s="93" t="n"/>
      <c r="L372" s="78" t="n"/>
      <c r="M372" s="78" t="n"/>
      <c r="N372" s="78" t="n"/>
    </row>
    <row r="373">
      <c r="K373" s="93" t="n"/>
      <c r="L373" s="78" t="n"/>
      <c r="M373" s="78" t="n"/>
      <c r="N373" s="78" t="n"/>
    </row>
    <row r="374">
      <c r="K374" s="93" t="n"/>
      <c r="L374" s="78" t="n"/>
      <c r="M374" s="78" t="n"/>
      <c r="N374" s="78" t="n"/>
    </row>
    <row r="375">
      <c r="K375" s="93" t="n"/>
      <c r="L375" s="78" t="n"/>
      <c r="M375" s="78" t="n"/>
      <c r="N375" s="78" t="n"/>
    </row>
    <row r="376">
      <c r="K376" s="93" t="n"/>
      <c r="L376" s="78" t="n"/>
      <c r="M376" s="78" t="n"/>
      <c r="N376" s="78" t="n"/>
    </row>
    <row r="377">
      <c r="K377" s="93" t="n"/>
      <c r="L377" s="78" t="n"/>
      <c r="M377" s="78" t="n"/>
      <c r="N377" s="78" t="n"/>
    </row>
    <row r="378">
      <c r="K378" s="93" t="n"/>
      <c r="L378" s="78" t="n"/>
      <c r="M378" s="78" t="n"/>
      <c r="N378" s="78" t="n"/>
    </row>
    <row r="379">
      <c r="K379" s="93" t="n"/>
      <c r="L379" s="78" t="n"/>
      <c r="M379" s="78" t="n"/>
      <c r="N379" s="78" t="n"/>
    </row>
    <row r="380">
      <c r="K380" s="93" t="n"/>
      <c r="L380" s="78" t="n"/>
      <c r="M380" s="78" t="n"/>
      <c r="N380" s="78" t="n"/>
    </row>
    <row r="381">
      <c r="K381" s="93" t="n"/>
      <c r="L381" s="78" t="n"/>
      <c r="M381" s="78" t="n"/>
      <c r="N381" s="78" t="n"/>
    </row>
    <row r="382">
      <c r="K382" s="93" t="n"/>
      <c r="L382" s="78" t="n"/>
      <c r="M382" s="78" t="n"/>
      <c r="N382" s="78" t="n"/>
    </row>
    <row r="383">
      <c r="K383" s="93" t="n"/>
      <c r="L383" s="78" t="n"/>
      <c r="M383" s="78" t="n"/>
      <c r="N383" s="78" t="n"/>
    </row>
    <row r="384">
      <c r="K384" s="93" t="n"/>
      <c r="L384" s="78" t="n"/>
      <c r="M384" s="78" t="n"/>
      <c r="N384" s="78" t="n"/>
    </row>
    <row r="385">
      <c r="K385" s="93" t="n"/>
      <c r="L385" s="78" t="n"/>
      <c r="M385" s="78" t="n"/>
      <c r="N385" s="78" t="n"/>
    </row>
    <row r="386">
      <c r="K386" s="93" t="n"/>
      <c r="L386" s="78" t="n"/>
      <c r="M386" s="78" t="n"/>
      <c r="N386" s="78" t="n"/>
    </row>
    <row r="387">
      <c r="K387" s="93" t="n"/>
      <c r="L387" s="78" t="n"/>
      <c r="M387" s="78" t="n"/>
      <c r="N387" s="78" t="n"/>
    </row>
    <row r="388">
      <c r="K388" s="93" t="n"/>
      <c r="L388" s="78" t="n"/>
      <c r="M388" s="78" t="n"/>
      <c r="N388" s="78" t="n"/>
    </row>
    <row r="389">
      <c r="K389" s="93" t="n"/>
      <c r="L389" s="78" t="n"/>
      <c r="M389" s="78" t="n"/>
      <c r="N389" s="78" t="n"/>
    </row>
    <row r="390">
      <c r="K390" s="93" t="n"/>
      <c r="L390" s="78" t="n"/>
      <c r="M390" s="78" t="n"/>
      <c r="N390" s="78" t="n"/>
    </row>
    <row r="391">
      <c r="K391" s="93" t="n"/>
      <c r="L391" s="78" t="n"/>
      <c r="M391" s="78" t="n"/>
      <c r="N391" s="78" t="n"/>
    </row>
    <row r="392">
      <c r="K392" s="93" t="n"/>
      <c r="L392" s="78" t="n"/>
      <c r="M392" s="78" t="n"/>
      <c r="N392" s="78" t="n"/>
    </row>
    <row r="393">
      <c r="K393" s="93" t="n"/>
      <c r="L393" s="78" t="n"/>
      <c r="M393" s="78" t="n"/>
      <c r="N393" s="78" t="n"/>
    </row>
    <row r="394">
      <c r="K394" s="93" t="n"/>
      <c r="L394" s="78" t="n"/>
      <c r="M394" s="78" t="n"/>
      <c r="N394" s="78" t="n"/>
    </row>
    <row r="395">
      <c r="K395" s="93" t="n"/>
      <c r="L395" s="78" t="n"/>
      <c r="M395" s="78" t="n"/>
      <c r="N395" s="78" t="n"/>
    </row>
    <row r="396">
      <c r="K396" s="93" t="n"/>
      <c r="L396" s="78" t="n"/>
      <c r="M396" s="78" t="n"/>
      <c r="N396" s="78" t="n"/>
    </row>
    <row r="397">
      <c r="K397" s="93" t="n"/>
      <c r="L397" s="78" t="n"/>
      <c r="M397" s="78" t="n"/>
      <c r="N397" s="78" t="n"/>
    </row>
    <row r="398">
      <c r="K398" s="93" t="n"/>
      <c r="L398" s="78" t="n"/>
      <c r="M398" s="78" t="n"/>
      <c r="N398" s="78" t="n"/>
    </row>
    <row r="399">
      <c r="K399" s="93" t="n"/>
      <c r="L399" s="78" t="n"/>
      <c r="M399" s="78" t="n"/>
      <c r="N399" s="78" t="n"/>
    </row>
    <row r="400">
      <c r="K400" s="93" t="n"/>
      <c r="L400" s="78" t="n"/>
      <c r="M400" s="78" t="n"/>
      <c r="N400" s="78" t="n"/>
    </row>
    <row r="401">
      <c r="K401" s="93" t="n"/>
      <c r="L401" s="78" t="n"/>
      <c r="M401" s="78" t="n"/>
      <c r="N401" s="78" t="n"/>
    </row>
    <row r="402">
      <c r="K402" s="93" t="n"/>
      <c r="L402" s="78" t="n"/>
      <c r="M402" s="78" t="n"/>
      <c r="N402" s="78" t="n"/>
    </row>
    <row r="403">
      <c r="K403" s="93" t="n"/>
      <c r="L403" s="78" t="n"/>
      <c r="M403" s="78" t="n"/>
      <c r="N403" s="78" t="n"/>
    </row>
    <row r="404">
      <c r="K404" s="93" t="n"/>
      <c r="L404" s="78" t="n"/>
      <c r="M404" s="78" t="n"/>
      <c r="N404" s="78" t="n"/>
    </row>
    <row r="405">
      <c r="K405" s="93" t="n"/>
      <c r="L405" s="78" t="n"/>
      <c r="M405" s="78" t="n"/>
      <c r="N405" s="78" t="n"/>
    </row>
    <row r="406">
      <c r="K406" s="93" t="n"/>
      <c r="L406" s="78" t="n"/>
      <c r="M406" s="78" t="n"/>
      <c r="N406" s="78" t="n"/>
    </row>
    <row r="407">
      <c r="K407" s="93" t="n"/>
      <c r="L407" s="78" t="n"/>
      <c r="M407" s="78" t="n"/>
      <c r="N407" s="78" t="n"/>
    </row>
    <row r="408">
      <c r="K408" s="93" t="n"/>
      <c r="L408" s="78" t="n"/>
      <c r="M408" s="78" t="n"/>
      <c r="N408" s="78" t="n"/>
    </row>
    <row r="409">
      <c r="K409" s="93" t="n"/>
      <c r="L409" s="78" t="n"/>
      <c r="M409" s="78" t="n"/>
      <c r="N409" s="78" t="n"/>
    </row>
    <row r="410">
      <c r="K410" s="93" t="n"/>
      <c r="L410" s="78" t="n"/>
      <c r="M410" s="78" t="n"/>
      <c r="N410" s="78" t="n"/>
    </row>
    <row r="411">
      <c r="K411" s="93" t="n"/>
      <c r="L411" s="78" t="n"/>
      <c r="M411" s="78" t="n"/>
      <c r="N411" s="78" t="n"/>
    </row>
    <row r="412">
      <c r="K412" s="93" t="n"/>
      <c r="L412" s="78" t="n"/>
      <c r="M412" s="78" t="n"/>
      <c r="N412" s="78" t="n"/>
    </row>
    <row r="413">
      <c r="K413" s="93" t="n"/>
      <c r="L413" s="78" t="n"/>
      <c r="M413" s="78" t="n"/>
      <c r="N413" s="78" t="n"/>
    </row>
    <row r="414">
      <c r="K414" s="93" t="n"/>
      <c r="L414" s="78" t="n"/>
      <c r="M414" s="78" t="n"/>
      <c r="N414" s="78" t="n"/>
    </row>
    <row r="415">
      <c r="K415" s="93" t="n"/>
      <c r="L415" s="78" t="n"/>
      <c r="M415" s="78" t="n"/>
      <c r="N415" s="78" t="n"/>
    </row>
    <row r="416">
      <c r="K416" s="93" t="n"/>
      <c r="L416" s="78" t="n"/>
      <c r="M416" s="78" t="n"/>
      <c r="N416" s="78" t="n"/>
    </row>
    <row r="417">
      <c r="K417" s="93" t="n"/>
      <c r="L417" s="78" t="n"/>
      <c r="M417" s="78" t="n"/>
      <c r="N417" s="78" t="n"/>
    </row>
    <row r="418">
      <c r="K418" s="93" t="n"/>
      <c r="L418" s="78" t="n"/>
      <c r="M418" s="78" t="n"/>
      <c r="N418" s="78" t="n"/>
    </row>
    <row r="419">
      <c r="K419" s="93" t="n"/>
      <c r="L419" s="78" t="n"/>
      <c r="M419" s="78" t="n"/>
      <c r="N419" s="78" t="n"/>
    </row>
    <row r="420">
      <c r="K420" s="93" t="n"/>
      <c r="L420" s="78" t="n"/>
      <c r="M420" s="78" t="n"/>
      <c r="N420" s="78" t="n"/>
    </row>
    <row r="421">
      <c r="K421" s="93" t="n"/>
      <c r="L421" s="78" t="n"/>
      <c r="M421" s="78" t="n"/>
      <c r="N421" s="78" t="n"/>
    </row>
    <row r="422">
      <c r="K422" s="93" t="n"/>
      <c r="L422" s="78" t="n"/>
      <c r="M422" s="78" t="n"/>
      <c r="N422" s="78" t="n"/>
    </row>
    <row r="423">
      <c r="K423" s="93" t="n"/>
      <c r="L423" s="78" t="n"/>
      <c r="M423" s="78" t="n"/>
      <c r="N423" s="78" t="n"/>
    </row>
    <row r="424">
      <c r="K424" s="93" t="n"/>
      <c r="L424" s="78" t="n"/>
      <c r="M424" s="78" t="n"/>
      <c r="N424" s="78" t="n"/>
    </row>
    <row r="425">
      <c r="K425" s="93" t="n"/>
      <c r="L425" s="78" t="n"/>
      <c r="M425" s="78" t="n"/>
      <c r="N425" s="78" t="n"/>
    </row>
    <row r="426">
      <c r="K426" s="93" t="n"/>
      <c r="L426" s="78" t="n"/>
      <c r="M426" s="78" t="n"/>
      <c r="N426" s="78" t="n"/>
    </row>
    <row r="427">
      <c r="K427" s="93" t="n"/>
      <c r="L427" s="78" t="n"/>
      <c r="M427" s="78" t="n"/>
      <c r="N427" s="78" t="n"/>
    </row>
    <row r="428">
      <c r="K428" s="93" t="n"/>
      <c r="L428" s="78" t="n"/>
      <c r="M428" s="78" t="n"/>
      <c r="N428" s="78" t="n"/>
    </row>
    <row r="429">
      <c r="K429" s="93" t="n"/>
      <c r="L429" s="78" t="n"/>
      <c r="M429" s="78" t="n"/>
      <c r="N429" s="78" t="n"/>
    </row>
    <row r="430">
      <c r="K430" s="93" t="n"/>
      <c r="L430" s="78" t="n"/>
      <c r="M430" s="78" t="n"/>
      <c r="N430" s="78" t="n"/>
    </row>
    <row r="431">
      <c r="K431" s="93" t="n"/>
      <c r="L431" s="78" t="n"/>
      <c r="M431" s="78" t="n"/>
      <c r="N431" s="78" t="n"/>
    </row>
    <row r="432">
      <c r="K432" s="93" t="n"/>
      <c r="L432" s="78" t="n"/>
      <c r="M432" s="78" t="n"/>
      <c r="N432" s="78" t="n"/>
    </row>
    <row r="433">
      <c r="K433" s="93" t="n"/>
      <c r="L433" s="78" t="n"/>
      <c r="M433" s="78" t="n"/>
      <c r="N433" s="78" t="n"/>
    </row>
    <row r="434">
      <c r="K434" s="93" t="n"/>
      <c r="L434" s="78" t="n"/>
      <c r="M434" s="78" t="n"/>
      <c r="N434" s="78" t="n"/>
    </row>
    <row r="435">
      <c r="K435" s="93" t="n"/>
      <c r="L435" s="78" t="n"/>
      <c r="M435" s="78" t="n"/>
      <c r="N435" s="78" t="n"/>
    </row>
    <row r="436">
      <c r="K436" s="93" t="n"/>
      <c r="L436" s="78" t="n"/>
      <c r="M436" s="78" t="n"/>
      <c r="N436" s="78" t="n"/>
    </row>
    <row r="437">
      <c r="K437" s="93" t="n"/>
      <c r="L437" s="78" t="n"/>
      <c r="M437" s="78" t="n"/>
      <c r="N437" s="78" t="n"/>
    </row>
    <row r="438">
      <c r="K438" s="93" t="n"/>
      <c r="L438" s="78" t="n"/>
      <c r="M438" s="78" t="n"/>
      <c r="N438" s="78" t="n"/>
    </row>
    <row r="439">
      <c r="K439" s="93" t="n"/>
      <c r="L439" s="78" t="n"/>
      <c r="M439" s="78" t="n"/>
      <c r="N439" s="78" t="n"/>
    </row>
    <row r="440">
      <c r="K440" s="93" t="n"/>
      <c r="L440" s="78" t="n"/>
      <c r="M440" s="78" t="n"/>
      <c r="N440" s="78" t="n"/>
    </row>
    <row r="441">
      <c r="K441" s="93" t="n"/>
      <c r="L441" s="78" t="n"/>
      <c r="M441" s="78" t="n"/>
      <c r="N441" s="78" t="n"/>
    </row>
    <row r="442">
      <c r="K442" s="93" t="n"/>
      <c r="L442" s="78" t="n"/>
      <c r="M442" s="78" t="n"/>
      <c r="N442" s="78" t="n"/>
    </row>
    <row r="443">
      <c r="K443" s="93" t="n"/>
      <c r="L443" s="78" t="n"/>
      <c r="M443" s="78" t="n"/>
      <c r="N443" s="78" t="n"/>
    </row>
    <row r="444">
      <c r="K444" s="93" t="n"/>
      <c r="L444" s="78" t="n"/>
      <c r="M444" s="78" t="n"/>
      <c r="N444" s="78" t="n"/>
    </row>
    <row r="445">
      <c r="K445" s="93" t="n"/>
      <c r="L445" s="78" t="n"/>
      <c r="M445" s="78" t="n"/>
      <c r="N445" s="78" t="n"/>
    </row>
    <row r="446">
      <c r="K446" s="93" t="n"/>
      <c r="L446" s="78" t="n"/>
      <c r="M446" s="78" t="n"/>
      <c r="N446" s="78" t="n"/>
    </row>
    <row r="447">
      <c r="K447" s="93" t="n"/>
      <c r="L447" s="78" t="n"/>
      <c r="M447" s="78" t="n"/>
      <c r="N447" s="78" t="n"/>
    </row>
    <row r="448">
      <c r="K448" s="93" t="n"/>
      <c r="L448" s="78" t="n"/>
      <c r="M448" s="78" t="n"/>
      <c r="N448" s="78" t="n"/>
    </row>
    <row r="449">
      <c r="K449" s="93" t="n"/>
      <c r="L449" s="78" t="n"/>
      <c r="M449" s="78" t="n"/>
      <c r="N449" s="78" t="n"/>
    </row>
    <row r="450">
      <c r="K450" s="93" t="n"/>
      <c r="L450" s="78" t="n"/>
      <c r="M450" s="78" t="n"/>
      <c r="N450" s="78" t="n"/>
    </row>
    <row r="451">
      <c r="K451" s="93" t="n"/>
      <c r="L451" s="78" t="n"/>
      <c r="M451" s="78" t="n"/>
      <c r="N451" s="78" t="n"/>
    </row>
    <row r="452">
      <c r="K452" s="93" t="n"/>
      <c r="L452" s="78" t="n"/>
      <c r="M452" s="78" t="n"/>
      <c r="N452" s="78" t="n"/>
    </row>
    <row r="453">
      <c r="K453" s="93" t="n"/>
      <c r="L453" s="78" t="n"/>
      <c r="M453" s="78" t="n"/>
      <c r="N453" s="78" t="n"/>
    </row>
    <row r="454">
      <c r="K454" s="93" t="n"/>
      <c r="L454" s="78" t="n"/>
      <c r="M454" s="78" t="n"/>
      <c r="N454" s="78" t="n"/>
    </row>
    <row r="455">
      <c r="K455" s="93" t="n"/>
      <c r="L455" s="78" t="n"/>
      <c r="M455" s="78" t="n"/>
      <c r="N455" s="78" t="n"/>
    </row>
    <row r="456">
      <c r="K456" s="93" t="n"/>
      <c r="L456" s="78" t="n"/>
      <c r="M456" s="78" t="n"/>
      <c r="N456" s="78" t="n"/>
    </row>
    <row r="457">
      <c r="K457" s="93" t="n"/>
      <c r="L457" s="78" t="n"/>
      <c r="M457" s="78" t="n"/>
      <c r="N457" s="78" t="n"/>
    </row>
    <row r="458">
      <c r="K458" s="93" t="n"/>
      <c r="L458" s="78" t="n"/>
      <c r="M458" s="78" t="n"/>
      <c r="N458" s="78" t="n"/>
    </row>
    <row r="459">
      <c r="K459" s="93" t="n"/>
      <c r="L459" s="78" t="n"/>
      <c r="M459" s="78" t="n"/>
      <c r="N459" s="78" t="n"/>
    </row>
    <row r="460">
      <c r="K460" s="93" t="n"/>
      <c r="L460" s="78" t="n"/>
      <c r="M460" s="78" t="n"/>
      <c r="N460" s="78" t="n"/>
    </row>
    <row r="461">
      <c r="K461" s="93" t="n"/>
      <c r="L461" s="78" t="n"/>
      <c r="M461" s="78" t="n"/>
      <c r="N461" s="78" t="n"/>
    </row>
    <row r="462">
      <c r="K462" s="93" t="n"/>
      <c r="L462" s="78" t="n"/>
      <c r="M462" s="78" t="n"/>
      <c r="N462" s="78" t="n"/>
    </row>
    <row r="463">
      <c r="K463" s="93" t="n"/>
      <c r="L463" s="78" t="n"/>
      <c r="M463" s="78" t="n"/>
      <c r="N463" s="78" t="n"/>
    </row>
    <row r="464">
      <c r="K464" s="93" t="n"/>
      <c r="L464" s="78" t="n"/>
      <c r="M464" s="78" t="n"/>
      <c r="N464" s="78" t="n"/>
    </row>
    <row r="465">
      <c r="K465" s="93" t="n"/>
      <c r="L465" s="78" t="n"/>
      <c r="M465" s="78" t="n"/>
      <c r="N465" s="78" t="n"/>
    </row>
    <row r="466">
      <c r="K466" s="93" t="n"/>
      <c r="L466" s="78" t="n"/>
      <c r="M466" s="78" t="n"/>
      <c r="N466" s="78" t="n"/>
    </row>
    <row r="467">
      <c r="K467" s="93" t="n"/>
      <c r="L467" s="78" t="n"/>
      <c r="M467" s="78" t="n"/>
      <c r="N467" s="78" t="n"/>
    </row>
    <row r="468">
      <c r="K468" s="93" t="n"/>
      <c r="L468" s="78" t="n"/>
      <c r="M468" s="78" t="n"/>
      <c r="N468" s="78" t="n"/>
    </row>
    <row r="469">
      <c r="K469" s="93" t="n"/>
      <c r="L469" s="78" t="n"/>
      <c r="M469" s="78" t="n"/>
      <c r="N469" s="78" t="n"/>
    </row>
    <row r="470">
      <c r="K470" s="93" t="n"/>
      <c r="L470" s="78" t="n"/>
      <c r="M470" s="78" t="n"/>
      <c r="N470" s="78" t="n"/>
    </row>
    <row r="471">
      <c r="K471" s="93" t="n"/>
      <c r="L471" s="78" t="n"/>
      <c r="M471" s="78" t="n"/>
      <c r="N471" s="78" t="n"/>
    </row>
    <row r="472">
      <c r="K472" s="93" t="n"/>
      <c r="L472" s="78" t="n"/>
      <c r="M472" s="78" t="n"/>
      <c r="N472" s="78" t="n"/>
    </row>
    <row r="473">
      <c r="K473" s="93" t="n"/>
      <c r="L473" s="78" t="n"/>
      <c r="M473" s="78" t="n"/>
      <c r="N473" s="78" t="n"/>
    </row>
    <row r="474">
      <c r="K474" s="93" t="n"/>
      <c r="L474" s="78" t="n"/>
      <c r="M474" s="78" t="n"/>
      <c r="N474" s="78" t="n"/>
    </row>
    <row r="475">
      <c r="K475" s="93" t="n"/>
      <c r="L475" s="78" t="n"/>
      <c r="M475" s="78" t="n"/>
      <c r="N475" s="78" t="n"/>
    </row>
    <row r="476">
      <c r="K476" s="93" t="n"/>
      <c r="L476" s="78" t="n"/>
      <c r="M476" s="78" t="n"/>
      <c r="N476" s="78" t="n"/>
    </row>
    <row r="477">
      <c r="K477" s="93" t="n"/>
      <c r="L477" s="78" t="n"/>
      <c r="M477" s="78" t="n"/>
      <c r="N477" s="78" t="n"/>
    </row>
    <row r="478">
      <c r="K478" s="93" t="n"/>
      <c r="L478" s="78" t="n"/>
      <c r="M478" s="78" t="n"/>
      <c r="N478" s="78" t="n"/>
    </row>
    <row r="479">
      <c r="K479" s="93" t="n"/>
      <c r="L479" s="78" t="n"/>
      <c r="M479" s="78" t="n"/>
      <c r="N479" s="78" t="n"/>
    </row>
    <row r="480">
      <c r="K480" s="93" t="n"/>
      <c r="L480" s="78" t="n"/>
      <c r="M480" s="78" t="n"/>
      <c r="N480" s="78" t="n"/>
    </row>
    <row r="481">
      <c r="K481" s="93" t="n"/>
      <c r="L481" s="78" t="n"/>
      <c r="M481" s="78" t="n"/>
      <c r="N481" s="78" t="n"/>
    </row>
    <row r="482">
      <c r="K482" s="93" t="n"/>
      <c r="L482" s="78" t="n"/>
      <c r="M482" s="78" t="n"/>
      <c r="N482" s="78" t="n"/>
    </row>
    <row r="483">
      <c r="K483" s="93" t="n"/>
      <c r="L483" s="78" t="n"/>
      <c r="M483" s="78" t="n"/>
      <c r="N483" s="78" t="n"/>
    </row>
    <row r="484">
      <c r="K484" s="93" t="n"/>
      <c r="L484" s="78" t="n"/>
      <c r="M484" s="78" t="n"/>
      <c r="N484" s="78" t="n"/>
    </row>
    <row r="485">
      <c r="K485" s="93" t="n"/>
      <c r="L485" s="78" t="n"/>
      <c r="M485" s="78" t="n"/>
      <c r="N485" s="78" t="n"/>
    </row>
    <row r="486">
      <c r="K486" s="93" t="n"/>
      <c r="L486" s="78" t="n"/>
      <c r="M486" s="78" t="n"/>
      <c r="N486" s="78" t="n"/>
    </row>
    <row r="487">
      <c r="K487" s="93" t="n"/>
      <c r="L487" s="78" t="n"/>
      <c r="M487" s="78" t="n"/>
      <c r="N487" s="78" t="n"/>
    </row>
    <row r="488">
      <c r="K488" s="93" t="n"/>
      <c r="L488" s="78" t="n"/>
      <c r="M488" s="78" t="n"/>
      <c r="N488" s="78" t="n"/>
    </row>
    <row r="489">
      <c r="K489" s="93" t="n"/>
      <c r="L489" s="78" t="n"/>
      <c r="M489" s="78" t="n"/>
      <c r="N489" s="78" t="n"/>
    </row>
    <row r="490">
      <c r="K490" s="93" t="n"/>
      <c r="L490" s="78" t="n"/>
      <c r="M490" s="78" t="n"/>
      <c r="N490" s="78" t="n"/>
    </row>
    <row r="491">
      <c r="K491" s="93" t="n"/>
      <c r="L491" s="78" t="n"/>
      <c r="M491" s="78" t="n"/>
      <c r="N491" s="78" t="n"/>
    </row>
    <row r="492">
      <c r="K492" s="93" t="n"/>
      <c r="L492" s="78" t="n"/>
      <c r="M492" s="78" t="n"/>
      <c r="N492" s="78" t="n"/>
    </row>
    <row r="493">
      <c r="K493" s="93" t="n"/>
      <c r="L493" s="78" t="n"/>
      <c r="M493" s="78" t="n"/>
      <c r="N493" s="78" t="n"/>
    </row>
    <row r="494">
      <c r="K494" s="93" t="n"/>
      <c r="L494" s="78" t="n"/>
      <c r="M494" s="78" t="n"/>
      <c r="N494" s="78" t="n"/>
    </row>
    <row r="495">
      <c r="K495" s="93" t="n"/>
      <c r="L495" s="78" t="n"/>
      <c r="M495" s="78" t="n"/>
      <c r="N495" s="78" t="n"/>
    </row>
    <row r="496">
      <c r="K496" s="93" t="n"/>
      <c r="L496" s="78" t="n"/>
      <c r="M496" s="78" t="n"/>
      <c r="N496" s="78" t="n"/>
    </row>
    <row r="497">
      <c r="K497" s="93" t="n"/>
      <c r="L497" s="78" t="n"/>
      <c r="M497" s="78" t="n"/>
      <c r="N497" s="78" t="n"/>
    </row>
    <row r="498">
      <c r="K498" s="93" t="n"/>
      <c r="L498" s="78" t="n"/>
      <c r="M498" s="78" t="n"/>
      <c r="N498" s="78" t="n"/>
    </row>
    <row r="499">
      <c r="K499" s="93" t="n"/>
      <c r="L499" s="78" t="n"/>
      <c r="M499" s="78" t="n"/>
      <c r="N499" s="78" t="n"/>
    </row>
    <row r="500">
      <c r="K500" s="93" t="n"/>
      <c r="L500" s="78" t="n"/>
      <c r="M500" s="78" t="n"/>
      <c r="N500" s="78" t="n"/>
    </row>
    <row r="501">
      <c r="K501" s="93" t="n"/>
      <c r="L501" s="78" t="n"/>
      <c r="M501" s="78" t="n"/>
      <c r="N501" s="78" t="n"/>
    </row>
    <row r="502">
      <c r="K502" s="93" t="n"/>
      <c r="L502" s="78" t="n"/>
      <c r="M502" s="78" t="n"/>
      <c r="N502" s="78" t="n"/>
    </row>
    <row r="503">
      <c r="K503" s="93" t="n"/>
      <c r="L503" s="78" t="n"/>
      <c r="M503" s="78" t="n"/>
      <c r="N503" s="78" t="n"/>
    </row>
    <row r="504">
      <c r="K504" s="93" t="n"/>
      <c r="L504" s="78" t="n"/>
      <c r="M504" s="78" t="n"/>
      <c r="N504" s="78" t="n"/>
    </row>
    <row r="505">
      <c r="K505" s="93" t="n"/>
      <c r="L505" s="78" t="n"/>
      <c r="M505" s="78" t="n"/>
      <c r="N505" s="78" t="n"/>
    </row>
    <row r="506">
      <c r="K506" s="93" t="n"/>
      <c r="L506" s="78" t="n"/>
      <c r="M506" s="78" t="n"/>
      <c r="N506" s="78" t="n"/>
    </row>
    <row r="507">
      <c r="K507" s="93" t="n"/>
      <c r="L507" s="78" t="n"/>
      <c r="M507" s="78" t="n"/>
      <c r="N507" s="78" t="n"/>
    </row>
    <row r="508">
      <c r="K508" s="93" t="n"/>
      <c r="L508" s="78" t="n"/>
      <c r="M508" s="78" t="n"/>
      <c r="N508" s="78" t="n"/>
    </row>
    <row r="509">
      <c r="K509" s="93" t="n"/>
      <c r="L509" s="78" t="n"/>
      <c r="M509" s="78" t="n"/>
      <c r="N509" s="78" t="n"/>
    </row>
    <row r="510">
      <c r="K510" s="93" t="n"/>
      <c r="L510" s="78" t="n"/>
      <c r="M510" s="78" t="n"/>
      <c r="N510" s="78" t="n"/>
    </row>
    <row r="511">
      <c r="K511" s="93" t="n"/>
      <c r="L511" s="78" t="n"/>
      <c r="M511" s="78" t="n"/>
      <c r="N511" s="78" t="n"/>
    </row>
    <row r="512">
      <c r="K512" s="93" t="n"/>
      <c r="L512" s="78" t="n"/>
      <c r="M512" s="78" t="n"/>
      <c r="N512" s="78" t="n"/>
    </row>
    <row r="513">
      <c r="K513" s="93" t="n"/>
      <c r="L513" s="78" t="n"/>
      <c r="M513" s="78" t="n"/>
      <c r="N513" s="78" t="n"/>
    </row>
    <row r="514">
      <c r="K514" s="93" t="n"/>
      <c r="L514" s="78" t="n"/>
      <c r="M514" s="78" t="n"/>
      <c r="N514" s="78" t="n"/>
    </row>
    <row r="515">
      <c r="K515" s="93" t="n"/>
      <c r="L515" s="78" t="n"/>
      <c r="M515" s="78" t="n"/>
      <c r="N515" s="78" t="n"/>
    </row>
    <row r="516">
      <c r="K516" s="93" t="n"/>
      <c r="L516" s="78" t="n"/>
      <c r="M516" s="78" t="n"/>
      <c r="N516" s="78" t="n"/>
    </row>
    <row r="517">
      <c r="K517" s="93" t="n"/>
      <c r="L517" s="78" t="n"/>
      <c r="M517" s="78" t="n"/>
      <c r="N517" s="78" t="n"/>
    </row>
    <row r="518">
      <c r="K518" s="93" t="n"/>
      <c r="L518" s="78" t="n"/>
      <c r="M518" s="78" t="n"/>
      <c r="N518" s="78" t="n"/>
    </row>
    <row r="519">
      <c r="K519" s="93" t="n"/>
      <c r="L519" s="78" t="n"/>
      <c r="M519" s="78" t="n"/>
      <c r="N519" s="78" t="n"/>
    </row>
    <row r="520">
      <c r="K520" s="93" t="n"/>
      <c r="L520" s="78" t="n"/>
      <c r="M520" s="78" t="n"/>
      <c r="N520" s="78" t="n"/>
    </row>
    <row r="521">
      <c r="K521" s="93" t="n"/>
      <c r="L521" s="78" t="n"/>
      <c r="M521" s="78" t="n"/>
      <c r="N521" s="78" t="n"/>
    </row>
    <row r="522">
      <c r="K522" s="93" t="n"/>
      <c r="L522" s="78" t="n"/>
      <c r="M522" s="78" t="n"/>
      <c r="N522" s="78" t="n"/>
    </row>
    <row r="523">
      <c r="K523" s="93" t="n"/>
      <c r="L523" s="78" t="n"/>
      <c r="M523" s="78" t="n"/>
      <c r="N523" s="78" t="n"/>
    </row>
    <row r="524">
      <c r="K524" s="93" t="n"/>
      <c r="L524" s="78" t="n"/>
      <c r="M524" s="78" t="n"/>
      <c r="N524" s="78" t="n"/>
    </row>
    <row r="525">
      <c r="K525" s="93" t="n"/>
      <c r="L525" s="78" t="n"/>
      <c r="M525" s="78" t="n"/>
      <c r="N525" s="78" t="n"/>
    </row>
    <row r="526">
      <c r="K526" s="93" t="n"/>
      <c r="L526" s="78" t="n"/>
      <c r="M526" s="78" t="n"/>
      <c r="N526" s="78" t="n"/>
    </row>
    <row r="527">
      <c r="K527" s="93" t="n"/>
      <c r="L527" s="78" t="n"/>
      <c r="M527" s="78" t="n"/>
      <c r="N527" s="78" t="n"/>
    </row>
    <row r="528">
      <c r="K528" s="93" t="n"/>
      <c r="L528" s="78" t="n"/>
      <c r="M528" s="78" t="n"/>
      <c r="N528" s="78" t="n"/>
    </row>
    <row r="529">
      <c r="K529" s="93" t="n"/>
      <c r="L529" s="78" t="n"/>
      <c r="M529" s="78" t="n"/>
      <c r="N529" s="78" t="n"/>
    </row>
    <row r="530">
      <c r="K530" s="93" t="n"/>
      <c r="L530" s="78" t="n"/>
      <c r="M530" s="78" t="n"/>
      <c r="N530" s="78" t="n"/>
    </row>
    <row r="531">
      <c r="K531" s="93" t="n"/>
      <c r="L531" s="78" t="n"/>
      <c r="M531" s="78" t="n"/>
      <c r="N531" s="78" t="n"/>
    </row>
    <row r="532">
      <c r="K532" s="93" t="n"/>
      <c r="L532" s="78" t="n"/>
      <c r="M532" s="78" t="n"/>
      <c r="N532" s="78" t="n"/>
    </row>
    <row r="533">
      <c r="K533" s="93" t="n"/>
      <c r="L533" s="78" t="n"/>
      <c r="M533" s="78" t="n"/>
      <c r="N533" s="78" t="n"/>
    </row>
    <row r="534">
      <c r="K534" s="93" t="n"/>
      <c r="L534" s="78" t="n"/>
      <c r="M534" s="78" t="n"/>
      <c r="N534" s="78" t="n"/>
    </row>
    <row r="535">
      <c r="K535" s="93" t="n"/>
      <c r="L535" s="78" t="n"/>
      <c r="M535" s="78" t="n"/>
      <c r="N535" s="78" t="n"/>
    </row>
    <row r="536">
      <c r="K536" s="93" t="n"/>
      <c r="L536" s="78" t="n"/>
      <c r="M536" s="78" t="n"/>
      <c r="N536" s="78" t="n"/>
    </row>
    <row r="537">
      <c r="K537" s="93" t="n"/>
      <c r="L537" s="78" t="n"/>
      <c r="M537" s="78" t="n"/>
      <c r="N537" s="78" t="n"/>
    </row>
    <row r="538">
      <c r="K538" s="93" t="n"/>
      <c r="L538" s="78" t="n"/>
      <c r="M538" s="78" t="n"/>
      <c r="N538" s="78" t="n"/>
    </row>
    <row r="539">
      <c r="K539" s="93" t="n"/>
      <c r="L539" s="78" t="n"/>
      <c r="M539" s="78" t="n"/>
      <c r="N539" s="78" t="n"/>
    </row>
    <row r="540">
      <c r="K540" s="93" t="n"/>
      <c r="L540" s="78" t="n"/>
      <c r="M540" s="78" t="n"/>
      <c r="N540" s="78" t="n"/>
    </row>
    <row r="541">
      <c r="K541" s="93" t="n"/>
      <c r="L541" s="78" t="n"/>
      <c r="M541" s="78" t="n"/>
      <c r="N541" s="78" t="n"/>
    </row>
    <row r="542">
      <c r="K542" s="93" t="n"/>
      <c r="L542" s="78" t="n"/>
      <c r="M542" s="78" t="n"/>
      <c r="N542" s="78" t="n"/>
    </row>
    <row r="543">
      <c r="K543" s="93" t="n"/>
      <c r="L543" s="78" t="n"/>
      <c r="M543" s="78" t="n"/>
      <c r="N543" s="78" t="n"/>
    </row>
    <row r="544">
      <c r="K544" s="93" t="n"/>
      <c r="L544" s="78" t="n"/>
      <c r="M544" s="78" t="n"/>
      <c r="N544" s="78" t="n"/>
    </row>
    <row r="545">
      <c r="K545" s="93" t="n"/>
      <c r="L545" s="78" t="n"/>
      <c r="M545" s="78" t="n"/>
      <c r="N545" s="78" t="n"/>
    </row>
    <row r="546">
      <c r="K546" s="93" t="n"/>
      <c r="L546" s="78" t="n"/>
      <c r="M546" s="78" t="n"/>
      <c r="N546" s="78" t="n"/>
    </row>
    <row r="547">
      <c r="K547" s="93" t="n"/>
      <c r="L547" s="78" t="n"/>
      <c r="M547" s="78" t="n"/>
      <c r="N547" s="78" t="n"/>
    </row>
    <row r="548">
      <c r="K548" s="93" t="n"/>
      <c r="L548" s="78" t="n"/>
      <c r="M548" s="78" t="n"/>
      <c r="N548" s="78" t="n"/>
    </row>
    <row r="549">
      <c r="K549" s="93" t="n"/>
      <c r="L549" s="78" t="n"/>
      <c r="M549" s="78" t="n"/>
      <c r="N549" s="78" t="n"/>
    </row>
    <row r="550">
      <c r="K550" s="93" t="n"/>
      <c r="L550" s="78" t="n"/>
      <c r="M550" s="78" t="n"/>
      <c r="N550" s="78" t="n"/>
    </row>
    <row r="551">
      <c r="K551" s="93" t="n"/>
      <c r="L551" s="78" t="n"/>
      <c r="M551" s="78" t="n"/>
      <c r="N551" s="78" t="n"/>
    </row>
    <row r="552">
      <c r="K552" s="93" t="n"/>
      <c r="L552" s="78" t="n"/>
      <c r="M552" s="78" t="n"/>
      <c r="N552" s="78" t="n"/>
    </row>
    <row r="553">
      <c r="K553" s="93" t="n"/>
      <c r="L553" s="78" t="n"/>
      <c r="M553" s="78" t="n"/>
      <c r="N553" s="78" t="n"/>
    </row>
    <row r="554">
      <c r="K554" s="93" t="n"/>
      <c r="L554" s="78" t="n"/>
      <c r="M554" s="78" t="n"/>
      <c r="N554" s="78" t="n"/>
    </row>
    <row r="555">
      <c r="K555" s="93" t="n"/>
      <c r="L555" s="78" t="n"/>
      <c r="M555" s="78" t="n"/>
      <c r="N555" s="78" t="n"/>
    </row>
    <row r="556">
      <c r="K556" s="93" t="n"/>
      <c r="L556" s="78" t="n"/>
      <c r="M556" s="78" t="n"/>
      <c r="N556" s="78" t="n"/>
    </row>
    <row r="557">
      <c r="K557" s="93" t="n"/>
      <c r="L557" s="78" t="n"/>
      <c r="M557" s="78" t="n"/>
      <c r="N557" s="78" t="n"/>
    </row>
    <row r="558">
      <c r="K558" s="93" t="n"/>
      <c r="L558" s="78" t="n"/>
      <c r="M558" s="78" t="n"/>
      <c r="N558" s="78" t="n"/>
    </row>
    <row r="559">
      <c r="K559" s="93" t="n"/>
      <c r="L559" s="78" t="n"/>
      <c r="M559" s="78" t="n"/>
      <c r="N559" s="78" t="n"/>
    </row>
    <row r="560">
      <c r="K560" s="93" t="n"/>
      <c r="L560" s="78" t="n"/>
      <c r="M560" s="78" t="n"/>
      <c r="N560" s="78" t="n"/>
    </row>
    <row r="561">
      <c r="K561" s="93" t="n"/>
      <c r="L561" s="78" t="n"/>
      <c r="M561" s="78" t="n"/>
      <c r="N561" s="78" t="n"/>
    </row>
    <row r="562">
      <c r="K562" s="93" t="n"/>
      <c r="L562" s="78" t="n"/>
      <c r="M562" s="78" t="n"/>
      <c r="N562" s="78" t="n"/>
    </row>
    <row r="563">
      <c r="K563" s="93" t="n"/>
      <c r="L563" s="78" t="n"/>
      <c r="M563" s="78" t="n"/>
      <c r="N563" s="78" t="n"/>
    </row>
    <row r="564">
      <c r="K564" s="93" t="n"/>
      <c r="L564" s="78" t="n"/>
      <c r="M564" s="78" t="n"/>
      <c r="N564" s="78" t="n"/>
    </row>
    <row r="565">
      <c r="K565" s="93" t="n"/>
      <c r="L565" s="78" t="n"/>
      <c r="M565" s="78" t="n"/>
      <c r="N565" s="78" t="n"/>
    </row>
    <row r="566">
      <c r="K566" s="93" t="n"/>
      <c r="L566" s="78" t="n"/>
      <c r="M566" s="78" t="n"/>
      <c r="N566" s="78" t="n"/>
    </row>
    <row r="567">
      <c r="K567" s="93" t="n"/>
      <c r="L567" s="78" t="n"/>
      <c r="M567" s="78" t="n"/>
      <c r="N567" s="78" t="n"/>
    </row>
    <row r="568">
      <c r="K568" s="93" t="n"/>
      <c r="L568" s="78" t="n"/>
      <c r="M568" s="78" t="n"/>
      <c r="N568" s="78" t="n"/>
    </row>
    <row r="569">
      <c r="K569" s="93" t="n"/>
      <c r="L569" s="78" t="n"/>
      <c r="M569" s="78" t="n"/>
      <c r="N569" s="78" t="n"/>
    </row>
    <row r="570">
      <c r="K570" s="93" t="n"/>
      <c r="L570" s="78" t="n"/>
      <c r="M570" s="78" t="n"/>
      <c r="N570" s="78" t="n"/>
    </row>
    <row r="571">
      <c r="K571" s="93" t="n"/>
      <c r="L571" s="78" t="n"/>
      <c r="M571" s="78" t="n"/>
      <c r="N571" s="78" t="n"/>
    </row>
    <row r="572">
      <c r="K572" s="93" t="n"/>
      <c r="L572" s="78" t="n"/>
      <c r="M572" s="78" t="n"/>
      <c r="N572" s="78" t="n"/>
    </row>
    <row r="573">
      <c r="K573" s="93" t="n"/>
      <c r="L573" s="78" t="n"/>
      <c r="M573" s="78" t="n"/>
      <c r="N573" s="78" t="n"/>
    </row>
    <row r="574">
      <c r="K574" s="93" t="n"/>
      <c r="L574" s="78" t="n"/>
      <c r="M574" s="78" t="n"/>
      <c r="N574" s="78" t="n"/>
    </row>
    <row r="575">
      <c r="K575" s="93" t="n"/>
      <c r="L575" s="78" t="n"/>
      <c r="M575" s="78" t="n"/>
      <c r="N575" s="78" t="n"/>
    </row>
    <row r="576">
      <c r="K576" s="93" t="n"/>
      <c r="L576" s="78" t="n"/>
      <c r="M576" s="78" t="n"/>
      <c r="N576" s="78" t="n"/>
    </row>
    <row r="577">
      <c r="K577" s="93" t="n"/>
      <c r="L577" s="78" t="n"/>
      <c r="M577" s="78" t="n"/>
      <c r="N577" s="78" t="n"/>
    </row>
    <row r="578">
      <c r="K578" s="93" t="n"/>
      <c r="L578" s="78" t="n"/>
      <c r="M578" s="78" t="n"/>
      <c r="N578" s="78" t="n"/>
    </row>
    <row r="579">
      <c r="K579" s="93" t="n"/>
      <c r="L579" s="78" t="n"/>
      <c r="M579" s="78" t="n"/>
      <c r="N579" s="78" t="n"/>
    </row>
    <row r="580">
      <c r="K580" s="93" t="n"/>
      <c r="L580" s="78" t="n"/>
      <c r="M580" s="78" t="n"/>
      <c r="N580" s="78" t="n"/>
    </row>
    <row r="581">
      <c r="K581" s="93" t="n"/>
      <c r="L581" s="78" t="n"/>
      <c r="M581" s="78" t="n"/>
      <c r="N581" s="78" t="n"/>
    </row>
    <row r="582">
      <c r="K582" s="93" t="n"/>
      <c r="L582" s="78" t="n"/>
      <c r="M582" s="78" t="n"/>
      <c r="N582" s="78" t="n"/>
    </row>
    <row r="583">
      <c r="K583" s="93" t="n"/>
      <c r="L583" s="78" t="n"/>
      <c r="M583" s="78" t="n"/>
      <c r="N583" s="78" t="n"/>
    </row>
    <row r="584">
      <c r="K584" s="93" t="n"/>
      <c r="L584" s="78" t="n"/>
      <c r="M584" s="78" t="n"/>
      <c r="N584" s="78" t="n"/>
    </row>
    <row r="585">
      <c r="K585" s="93" t="n"/>
      <c r="L585" s="78" t="n"/>
      <c r="M585" s="78" t="n"/>
      <c r="N585" s="78" t="n"/>
    </row>
    <row r="586">
      <c r="K586" s="93" t="n"/>
      <c r="L586" s="78" t="n"/>
      <c r="M586" s="78" t="n"/>
      <c r="N586" s="78" t="n"/>
    </row>
    <row r="587">
      <c r="K587" s="93" t="n"/>
      <c r="L587" s="78" t="n"/>
      <c r="M587" s="78" t="n"/>
      <c r="N587" s="78" t="n"/>
    </row>
    <row r="588">
      <c r="K588" s="93" t="n"/>
      <c r="L588" s="78" t="n"/>
      <c r="M588" s="78" t="n"/>
      <c r="N588" s="78" t="n"/>
    </row>
    <row r="589">
      <c r="K589" s="93" t="n"/>
      <c r="L589" s="78" t="n"/>
      <c r="M589" s="78" t="n"/>
      <c r="N589" s="78" t="n"/>
    </row>
    <row r="590">
      <c r="K590" s="93" t="n"/>
      <c r="L590" s="78" t="n"/>
      <c r="M590" s="78" t="n"/>
      <c r="N590" s="78" t="n"/>
    </row>
    <row r="591">
      <c r="K591" s="93" t="n"/>
      <c r="L591" s="78" t="n"/>
      <c r="M591" s="78" t="n"/>
      <c r="N591" s="78" t="n"/>
    </row>
    <row r="592">
      <c r="K592" s="93" t="n"/>
      <c r="L592" s="78" t="n"/>
      <c r="M592" s="78" t="n"/>
      <c r="N592" s="78" t="n"/>
    </row>
    <row r="593">
      <c r="K593" s="93" t="n"/>
      <c r="L593" s="78" t="n"/>
      <c r="M593" s="78" t="n"/>
      <c r="N593" s="78" t="n"/>
    </row>
    <row r="594">
      <c r="K594" s="93" t="n"/>
      <c r="L594" s="78" t="n"/>
      <c r="M594" s="78" t="n"/>
      <c r="N594" s="78" t="n"/>
    </row>
    <row r="595">
      <c r="K595" s="93" t="n"/>
      <c r="L595" s="78" t="n"/>
      <c r="M595" s="78" t="n"/>
      <c r="N595" s="78" t="n"/>
    </row>
    <row r="596">
      <c r="K596" s="93" t="n"/>
      <c r="L596" s="78" t="n"/>
      <c r="M596" s="78" t="n"/>
      <c r="N596" s="78" t="n"/>
    </row>
    <row r="597">
      <c r="K597" s="93" t="n"/>
      <c r="L597" s="78" t="n"/>
      <c r="M597" s="78" t="n"/>
      <c r="N597" s="78" t="n"/>
    </row>
    <row r="598">
      <c r="K598" s="93" t="n"/>
      <c r="L598" s="78" t="n"/>
      <c r="M598" s="78" t="n"/>
      <c r="N598" s="78" t="n"/>
    </row>
    <row r="599">
      <c r="K599" s="93" t="n"/>
      <c r="L599" s="78" t="n"/>
      <c r="M599" s="78" t="n"/>
      <c r="N599" s="78" t="n"/>
    </row>
    <row r="600">
      <c r="K600" s="93" t="n"/>
      <c r="L600" s="78" t="n"/>
      <c r="M600" s="78" t="n"/>
      <c r="N600" s="78" t="n"/>
    </row>
    <row r="601">
      <c r="K601" s="93" t="n"/>
      <c r="L601" s="78" t="n"/>
      <c r="M601" s="78" t="n"/>
      <c r="N601" s="78" t="n"/>
    </row>
    <row r="602">
      <c r="K602" s="93" t="n"/>
      <c r="L602" s="78" t="n"/>
      <c r="M602" s="78" t="n"/>
      <c r="N602" s="78" t="n"/>
    </row>
    <row r="603">
      <c r="K603" s="93" t="n"/>
      <c r="L603" s="78" t="n"/>
      <c r="M603" s="78" t="n"/>
      <c r="N603" s="78" t="n"/>
    </row>
    <row r="604">
      <c r="K604" s="93" t="n"/>
      <c r="L604" s="78" t="n"/>
      <c r="M604" s="78" t="n"/>
      <c r="N604" s="78" t="n"/>
    </row>
    <row r="605">
      <c r="K605" s="93" t="n"/>
      <c r="L605" s="78" t="n"/>
      <c r="M605" s="78" t="n"/>
      <c r="N605" s="78" t="n"/>
    </row>
    <row r="606">
      <c r="K606" s="93" t="n"/>
      <c r="L606" s="78" t="n"/>
      <c r="M606" s="78" t="n"/>
      <c r="N606" s="78" t="n"/>
    </row>
    <row r="607">
      <c r="K607" s="93" t="n"/>
      <c r="L607" s="78" t="n"/>
      <c r="M607" s="78" t="n"/>
      <c r="N607" s="78" t="n"/>
    </row>
    <row r="608">
      <c r="K608" s="93" t="n"/>
      <c r="L608" s="78" t="n"/>
      <c r="M608" s="78" t="n"/>
      <c r="N608" s="78" t="n"/>
    </row>
    <row r="609">
      <c r="K609" s="93" t="n"/>
      <c r="L609" s="78" t="n"/>
      <c r="M609" s="78" t="n"/>
      <c r="N609" s="78" t="n"/>
    </row>
    <row r="610">
      <c r="K610" s="93" t="n"/>
      <c r="L610" s="78" t="n"/>
      <c r="M610" s="78" t="n"/>
      <c r="N610" s="78" t="n"/>
    </row>
    <row r="611">
      <c r="K611" s="93" t="n"/>
      <c r="L611" s="78" t="n"/>
      <c r="M611" s="78" t="n"/>
      <c r="N611" s="78" t="n"/>
    </row>
    <row r="612">
      <c r="K612" s="93" t="n"/>
      <c r="L612" s="78" t="n"/>
      <c r="M612" s="78" t="n"/>
      <c r="N612" s="78" t="n"/>
    </row>
    <row r="613">
      <c r="K613" s="93" t="n"/>
      <c r="L613" s="78" t="n"/>
      <c r="M613" s="78" t="n"/>
      <c r="N613" s="78" t="n"/>
    </row>
    <row r="614">
      <c r="K614" s="93" t="n"/>
      <c r="L614" s="78" t="n"/>
      <c r="M614" s="78" t="n"/>
      <c r="N614" s="78" t="n"/>
    </row>
    <row r="615">
      <c r="K615" s="93" t="n"/>
      <c r="L615" s="78" t="n"/>
      <c r="M615" s="78" t="n"/>
      <c r="N615" s="78" t="n"/>
    </row>
    <row r="616">
      <c r="K616" s="93" t="n"/>
      <c r="L616" s="78" t="n"/>
      <c r="M616" s="78" t="n"/>
      <c r="N616" s="78" t="n"/>
    </row>
    <row r="617">
      <c r="K617" s="93" t="n"/>
      <c r="L617" s="78" t="n"/>
      <c r="M617" s="78" t="n"/>
      <c r="N617" s="78" t="n"/>
    </row>
    <row r="618">
      <c r="K618" s="93" t="n"/>
      <c r="L618" s="78" t="n"/>
      <c r="M618" s="78" t="n"/>
      <c r="N618" s="78" t="n"/>
    </row>
    <row r="619">
      <c r="K619" s="93" t="n"/>
      <c r="L619" s="78" t="n"/>
      <c r="M619" s="78" t="n"/>
      <c r="N619" s="78" t="n"/>
    </row>
    <row r="620">
      <c r="K620" s="93" t="n"/>
      <c r="L620" s="78" t="n"/>
      <c r="M620" s="78" t="n"/>
      <c r="N620" s="78" t="n"/>
    </row>
    <row r="621">
      <c r="K621" s="93" t="n"/>
      <c r="L621" s="78" t="n"/>
      <c r="M621" s="78" t="n"/>
      <c r="N621" s="78" t="n"/>
    </row>
    <row r="622">
      <c r="K622" s="93" t="n"/>
      <c r="L622" s="78" t="n"/>
      <c r="M622" s="78" t="n"/>
      <c r="N622" s="78" t="n"/>
    </row>
    <row r="623">
      <c r="K623" s="93" t="n"/>
      <c r="L623" s="78" t="n"/>
      <c r="M623" s="78" t="n"/>
      <c r="N623" s="78" t="n"/>
    </row>
    <row r="624">
      <c r="K624" s="93" t="n"/>
      <c r="L624" s="78" t="n"/>
      <c r="M624" s="78" t="n"/>
      <c r="N624" s="78" t="n"/>
    </row>
    <row r="625">
      <c r="K625" s="93" t="n"/>
      <c r="L625" s="78" t="n"/>
      <c r="M625" s="78" t="n"/>
      <c r="N625" s="78" t="n"/>
    </row>
    <row r="626">
      <c r="K626" s="93" t="n"/>
      <c r="L626" s="78" t="n"/>
      <c r="M626" s="78" t="n"/>
      <c r="N626" s="78" t="n"/>
    </row>
    <row r="627">
      <c r="K627" s="93" t="n"/>
      <c r="L627" s="78" t="n"/>
      <c r="M627" s="78" t="n"/>
      <c r="N627" s="78" t="n"/>
    </row>
    <row r="628">
      <c r="K628" s="93" t="n"/>
      <c r="L628" s="78" t="n"/>
      <c r="M628" s="78" t="n"/>
      <c r="N628" s="78" t="n"/>
    </row>
    <row r="629">
      <c r="K629" s="93" t="n"/>
      <c r="L629" s="78" t="n"/>
      <c r="M629" s="78" t="n"/>
      <c r="N629" s="78" t="n"/>
    </row>
    <row r="630">
      <c r="K630" s="93" t="n"/>
      <c r="L630" s="78" t="n"/>
      <c r="M630" s="78" t="n"/>
      <c r="N630" s="78" t="n"/>
    </row>
    <row r="631">
      <c r="K631" s="93" t="n"/>
      <c r="L631" s="78" t="n"/>
      <c r="M631" s="78" t="n"/>
      <c r="N631" s="78" t="n"/>
    </row>
    <row r="632">
      <c r="K632" s="93" t="n"/>
      <c r="L632" s="78" t="n"/>
      <c r="M632" s="78" t="n"/>
      <c r="N632" s="78" t="n"/>
    </row>
    <row r="633">
      <c r="K633" s="93" t="n"/>
      <c r="L633" s="78" t="n"/>
      <c r="M633" s="78" t="n"/>
      <c r="N633" s="78" t="n"/>
    </row>
    <row r="634">
      <c r="K634" s="93" t="n"/>
      <c r="L634" s="78" t="n"/>
      <c r="M634" s="78" t="n"/>
      <c r="N634" s="78" t="n"/>
    </row>
    <row r="635">
      <c r="K635" s="93" t="n"/>
      <c r="L635" s="78" t="n"/>
      <c r="M635" s="78" t="n"/>
      <c r="N635" s="78" t="n"/>
    </row>
    <row r="636">
      <c r="K636" s="93" t="n"/>
      <c r="L636" s="78" t="n"/>
      <c r="M636" s="78" t="n"/>
      <c r="N636" s="78" t="n"/>
    </row>
    <row r="637">
      <c r="K637" s="93" t="n"/>
      <c r="L637" s="78" t="n"/>
      <c r="M637" s="78" t="n"/>
      <c r="N637" s="78" t="n"/>
    </row>
    <row r="638">
      <c r="K638" s="93" t="n"/>
      <c r="L638" s="78" t="n"/>
      <c r="M638" s="78" t="n"/>
      <c r="N638" s="78" t="n"/>
    </row>
    <row r="639">
      <c r="K639" s="93" t="n"/>
      <c r="L639" s="78" t="n"/>
      <c r="M639" s="78" t="n"/>
      <c r="N639" s="78" t="n"/>
    </row>
    <row r="640">
      <c r="K640" s="93" t="n"/>
      <c r="L640" s="78" t="n"/>
      <c r="M640" s="78" t="n"/>
      <c r="N640" s="78" t="n"/>
    </row>
    <row r="641">
      <c r="K641" s="93" t="n"/>
      <c r="L641" s="78" t="n"/>
      <c r="M641" s="78" t="n"/>
      <c r="N641" s="78" t="n"/>
    </row>
    <row r="642">
      <c r="K642" s="93" t="n"/>
      <c r="L642" s="78" t="n"/>
      <c r="M642" s="78" t="n"/>
      <c r="N642" s="78" t="n"/>
    </row>
    <row r="643">
      <c r="K643" s="93" t="n"/>
      <c r="L643" s="78" t="n"/>
      <c r="M643" s="78" t="n"/>
      <c r="N643" s="78" t="n"/>
    </row>
    <row r="644">
      <c r="K644" s="93" t="n"/>
      <c r="L644" s="78" t="n"/>
      <c r="M644" s="78" t="n"/>
      <c r="N644" s="78" t="n"/>
    </row>
    <row r="645">
      <c r="K645" s="93" t="n"/>
      <c r="L645" s="78" t="n"/>
      <c r="M645" s="78" t="n"/>
      <c r="N645" s="78" t="n"/>
    </row>
    <row r="646">
      <c r="K646" s="93" t="n"/>
      <c r="L646" s="78" t="n"/>
      <c r="M646" s="78" t="n"/>
      <c r="N646" s="78" t="n"/>
    </row>
    <row r="647">
      <c r="K647" s="93" t="n"/>
      <c r="L647" s="78" t="n"/>
      <c r="M647" s="78" t="n"/>
      <c r="N647" s="78" t="n"/>
    </row>
    <row r="648">
      <c r="K648" s="93" t="n"/>
      <c r="L648" s="78" t="n"/>
      <c r="M648" s="78" t="n"/>
      <c r="N648" s="78" t="n"/>
    </row>
    <row r="649">
      <c r="K649" s="93" t="n"/>
      <c r="L649" s="78" t="n"/>
      <c r="M649" s="78" t="n"/>
      <c r="N649" s="78" t="n"/>
    </row>
    <row r="650">
      <c r="K650" s="93" t="n"/>
      <c r="L650" s="78" t="n"/>
      <c r="M650" s="78" t="n"/>
      <c r="N650" s="78" t="n"/>
    </row>
    <row r="651">
      <c r="K651" s="93" t="n"/>
      <c r="L651" s="78" t="n"/>
      <c r="M651" s="78" t="n"/>
      <c r="N651" s="78" t="n"/>
    </row>
    <row r="652">
      <c r="K652" s="93" t="n"/>
      <c r="L652" s="78" t="n"/>
      <c r="M652" s="78" t="n"/>
      <c r="N652" s="78" t="n"/>
    </row>
    <row r="653">
      <c r="K653" s="93" t="n"/>
      <c r="L653" s="78" t="n"/>
      <c r="M653" s="78" t="n"/>
      <c r="N653" s="78" t="n"/>
    </row>
    <row r="654">
      <c r="K654" s="93" t="n"/>
      <c r="L654" s="78" t="n"/>
      <c r="M654" s="78" t="n"/>
      <c r="N654" s="78" t="n"/>
    </row>
    <row r="655">
      <c r="K655" s="93" t="n"/>
      <c r="L655" s="78" t="n"/>
      <c r="M655" s="78" t="n"/>
      <c r="N655" s="78" t="n"/>
    </row>
    <row r="656">
      <c r="K656" s="93" t="n"/>
      <c r="L656" s="78" t="n"/>
      <c r="M656" s="78" t="n"/>
      <c r="N656" s="78" t="n"/>
    </row>
    <row r="657">
      <c r="K657" s="93" t="n"/>
      <c r="L657" s="78" t="n"/>
      <c r="M657" s="78" t="n"/>
      <c r="N657" s="78" t="n"/>
    </row>
    <row r="658">
      <c r="K658" s="93" t="n"/>
      <c r="L658" s="78" t="n"/>
      <c r="M658" s="78" t="n"/>
      <c r="N658" s="78" t="n"/>
    </row>
    <row r="659">
      <c r="K659" s="93" t="n"/>
      <c r="L659" s="78" t="n"/>
      <c r="M659" s="78" t="n"/>
      <c r="N659" s="78" t="n"/>
    </row>
    <row r="660">
      <c r="K660" s="93" t="n"/>
      <c r="L660" s="78" t="n"/>
      <c r="M660" s="78" t="n"/>
      <c r="N660" s="78" t="n"/>
    </row>
    <row r="661">
      <c r="K661" s="93" t="n"/>
      <c r="L661" s="78" t="n"/>
      <c r="M661" s="78" t="n"/>
      <c r="N661" s="78" t="n"/>
    </row>
    <row r="662">
      <c r="K662" s="93" t="n"/>
      <c r="L662" s="78" t="n"/>
      <c r="M662" s="78" t="n"/>
      <c r="N662" s="78" t="n"/>
    </row>
    <row r="663">
      <c r="K663" s="93" t="n"/>
      <c r="L663" s="78" t="n"/>
      <c r="M663" s="78" t="n"/>
      <c r="N663" s="78" t="n"/>
    </row>
    <row r="664">
      <c r="K664" s="93" t="n"/>
      <c r="L664" s="78" t="n"/>
      <c r="M664" s="78" t="n"/>
      <c r="N664" s="78" t="n"/>
    </row>
    <row r="665">
      <c r="K665" s="93" t="n"/>
      <c r="L665" s="78" t="n"/>
      <c r="M665" s="78" t="n"/>
      <c r="N665" s="78" t="n"/>
    </row>
    <row r="666">
      <c r="K666" s="93" t="n"/>
      <c r="L666" s="78" t="n"/>
      <c r="M666" s="78" t="n"/>
      <c r="N666" s="78" t="n"/>
    </row>
    <row r="667">
      <c r="K667" s="93" t="n"/>
      <c r="L667" s="78" t="n"/>
      <c r="M667" s="78" t="n"/>
      <c r="N667" s="78" t="n"/>
    </row>
    <row r="668">
      <c r="K668" s="93" t="n"/>
      <c r="L668" s="78" t="n"/>
      <c r="M668" s="78" t="n"/>
      <c r="N668" s="78" t="n"/>
    </row>
    <row r="669">
      <c r="K669" s="93" t="n"/>
      <c r="L669" s="78" t="n"/>
      <c r="M669" s="78" t="n"/>
      <c r="N669" s="78" t="n"/>
    </row>
    <row r="670">
      <c r="K670" s="93" t="n"/>
      <c r="L670" s="78" t="n"/>
      <c r="M670" s="78" t="n"/>
      <c r="N670" s="78" t="n"/>
    </row>
    <row r="671">
      <c r="K671" s="93" t="n"/>
      <c r="L671" s="78" t="n"/>
      <c r="M671" s="78" t="n"/>
      <c r="N671" s="78" t="n"/>
    </row>
    <row r="672">
      <c r="K672" s="93" t="n"/>
      <c r="L672" s="78" t="n"/>
      <c r="M672" s="78" t="n"/>
      <c r="N672" s="78" t="n"/>
    </row>
    <row r="673">
      <c r="K673" s="93" t="n"/>
      <c r="L673" s="78" t="n"/>
      <c r="M673" s="78" t="n"/>
      <c r="N673" s="78" t="n"/>
    </row>
    <row r="674">
      <c r="K674" s="93" t="n"/>
      <c r="L674" s="78" t="n"/>
      <c r="M674" s="78" t="n"/>
      <c r="N674" s="78" t="n"/>
    </row>
    <row r="675">
      <c r="K675" s="93" t="n"/>
      <c r="L675" s="78" t="n"/>
      <c r="M675" s="78" t="n"/>
      <c r="N675" s="78" t="n"/>
    </row>
    <row r="676">
      <c r="K676" s="93" t="n"/>
      <c r="L676" s="78" t="n"/>
      <c r="M676" s="78" t="n"/>
      <c r="N676" s="78" t="n"/>
    </row>
    <row r="677">
      <c r="K677" s="93" t="n"/>
      <c r="L677" s="78" t="n"/>
      <c r="M677" s="78" t="n"/>
      <c r="N677" s="78" t="n"/>
    </row>
    <row r="678">
      <c r="K678" s="93" t="n"/>
      <c r="L678" s="78" t="n"/>
      <c r="M678" s="78" t="n"/>
      <c r="N678" s="78" t="n"/>
    </row>
    <row r="679">
      <c r="K679" s="93" t="n"/>
      <c r="L679" s="78" t="n"/>
      <c r="M679" s="78" t="n"/>
      <c r="N679" s="78" t="n"/>
    </row>
    <row r="680">
      <c r="K680" s="93" t="n"/>
      <c r="L680" s="78" t="n"/>
      <c r="M680" s="78" t="n"/>
      <c r="N680" s="78" t="n"/>
    </row>
    <row r="681">
      <c r="K681" s="93" t="n"/>
      <c r="L681" s="78" t="n"/>
      <c r="M681" s="78" t="n"/>
      <c r="N681" s="78" t="n"/>
    </row>
    <row r="682">
      <c r="K682" s="93" t="n"/>
      <c r="L682" s="78" t="n"/>
      <c r="M682" s="78" t="n"/>
      <c r="N682" s="78" t="n"/>
    </row>
    <row r="683">
      <c r="K683" s="93" t="n"/>
      <c r="L683" s="78" t="n"/>
      <c r="M683" s="78" t="n"/>
      <c r="N683" s="78" t="n"/>
    </row>
    <row r="684">
      <c r="K684" s="93" t="n"/>
      <c r="L684" s="78" t="n"/>
      <c r="M684" s="78" t="n"/>
      <c r="N684" s="78" t="n"/>
    </row>
    <row r="685">
      <c r="K685" s="93" t="n"/>
      <c r="L685" s="78" t="n"/>
      <c r="M685" s="78" t="n"/>
      <c r="N685" s="78" t="n"/>
    </row>
    <row r="686">
      <c r="K686" s="93" t="n"/>
      <c r="L686" s="78" t="n"/>
      <c r="M686" s="78" t="n"/>
      <c r="N686" s="78" t="n"/>
    </row>
    <row r="687">
      <c r="K687" s="93" t="n"/>
      <c r="L687" s="78" t="n"/>
      <c r="M687" s="78" t="n"/>
      <c r="N687" s="78" t="n"/>
    </row>
    <row r="688">
      <c r="K688" s="93" t="n"/>
      <c r="L688" s="78" t="n"/>
      <c r="M688" s="78" t="n"/>
      <c r="N688" s="78" t="n"/>
    </row>
    <row r="689">
      <c r="K689" s="93" t="n"/>
      <c r="L689" s="78" t="n"/>
      <c r="M689" s="78" t="n"/>
      <c r="N689" s="78" t="n"/>
    </row>
    <row r="690">
      <c r="K690" s="93" t="n"/>
      <c r="L690" s="78" t="n"/>
      <c r="M690" s="78" t="n"/>
      <c r="N690" s="78" t="n"/>
    </row>
    <row r="691">
      <c r="K691" s="93" t="n"/>
      <c r="L691" s="78" t="n"/>
      <c r="M691" s="78" t="n"/>
      <c r="N691" s="78" t="n"/>
    </row>
    <row r="692">
      <c r="K692" s="93" t="n"/>
      <c r="L692" s="78" t="n"/>
      <c r="M692" s="78" t="n"/>
      <c r="N692" s="78" t="n"/>
    </row>
    <row r="693">
      <c r="K693" s="93" t="n"/>
      <c r="L693" s="78" t="n"/>
      <c r="M693" s="78" t="n"/>
      <c r="N693" s="78" t="n"/>
    </row>
    <row r="694">
      <c r="K694" s="93" t="n"/>
      <c r="L694" s="78" t="n"/>
      <c r="M694" s="78" t="n"/>
      <c r="N694" s="78" t="n"/>
    </row>
    <row r="695">
      <c r="K695" s="93" t="n"/>
      <c r="L695" s="78" t="n"/>
      <c r="M695" s="78" t="n"/>
      <c r="N695" s="78" t="n"/>
    </row>
    <row r="696">
      <c r="K696" s="93" t="n"/>
      <c r="L696" s="78" t="n"/>
      <c r="M696" s="78" t="n"/>
      <c r="N696" s="78" t="n"/>
    </row>
    <row r="697">
      <c r="K697" s="93" t="n"/>
      <c r="L697" s="78" t="n"/>
      <c r="M697" s="78" t="n"/>
      <c r="N697" s="78" t="n"/>
    </row>
    <row r="698">
      <c r="K698" s="93" t="n"/>
      <c r="L698" s="78" t="n"/>
      <c r="M698" s="78" t="n"/>
      <c r="N698" s="78" t="n"/>
    </row>
    <row r="699">
      <c r="K699" s="93" t="n"/>
      <c r="L699" s="78" t="n"/>
      <c r="M699" s="78" t="n"/>
      <c r="N699" s="78" t="n"/>
    </row>
    <row r="700">
      <c r="K700" s="93" t="n"/>
      <c r="L700" s="78" t="n"/>
      <c r="M700" s="78" t="n"/>
      <c r="N700" s="78" t="n"/>
    </row>
    <row r="701">
      <c r="K701" s="93" t="n"/>
      <c r="L701" s="78" t="n"/>
      <c r="M701" s="78" t="n"/>
      <c r="N701" s="78" t="n"/>
    </row>
    <row r="702">
      <c r="K702" s="93" t="n"/>
      <c r="L702" s="78" t="n"/>
      <c r="M702" s="78" t="n"/>
      <c r="N702" s="78" t="n"/>
    </row>
    <row r="703">
      <c r="K703" s="93" t="n"/>
      <c r="L703" s="78" t="n"/>
      <c r="M703" s="78" t="n"/>
      <c r="N703" s="78" t="n"/>
    </row>
    <row r="704">
      <c r="K704" s="93" t="n"/>
      <c r="L704" s="78" t="n"/>
      <c r="M704" s="78" t="n"/>
      <c r="N704" s="78" t="n"/>
    </row>
    <row r="705">
      <c r="K705" s="93" t="n"/>
      <c r="L705" s="78" t="n"/>
      <c r="M705" s="78" t="n"/>
      <c r="N705" s="78" t="n"/>
    </row>
    <row r="706">
      <c r="K706" s="93" t="n"/>
      <c r="L706" s="78" t="n"/>
      <c r="M706" s="78" t="n"/>
      <c r="N706" s="78" t="n"/>
    </row>
    <row r="707">
      <c r="K707" s="93" t="n"/>
      <c r="L707" s="78" t="n"/>
      <c r="M707" s="78" t="n"/>
      <c r="N707" s="78" t="n"/>
    </row>
    <row r="708">
      <c r="K708" s="93" t="n"/>
      <c r="L708" s="78" t="n"/>
      <c r="M708" s="78" t="n"/>
      <c r="N708" s="78" t="n"/>
    </row>
    <row r="709">
      <c r="K709" s="93" t="n"/>
      <c r="L709" s="78" t="n"/>
      <c r="M709" s="78" t="n"/>
      <c r="N709" s="78" t="n"/>
    </row>
    <row r="710">
      <c r="K710" s="93" t="n"/>
      <c r="L710" s="78" t="n"/>
      <c r="M710" s="78" t="n"/>
      <c r="N710" s="78" t="n"/>
    </row>
    <row r="711">
      <c r="K711" s="93" t="n"/>
      <c r="L711" s="78" t="n"/>
      <c r="M711" s="78" t="n"/>
      <c r="N711" s="78" t="n"/>
    </row>
    <row r="712">
      <c r="K712" s="93" t="n"/>
      <c r="L712" s="78" t="n"/>
      <c r="M712" s="78" t="n"/>
      <c r="N712" s="78" t="n"/>
    </row>
    <row r="713">
      <c r="K713" s="93" t="n"/>
      <c r="L713" s="78" t="n"/>
      <c r="M713" s="78" t="n"/>
      <c r="N713" s="78" t="n"/>
    </row>
    <row r="714">
      <c r="K714" s="93" t="n"/>
      <c r="L714" s="78" t="n"/>
      <c r="M714" s="78" t="n"/>
      <c r="N714" s="78" t="n"/>
    </row>
    <row r="715">
      <c r="K715" s="93" t="n"/>
      <c r="L715" s="78" t="n"/>
      <c r="M715" s="78" t="n"/>
      <c r="N715" s="78" t="n"/>
    </row>
    <row r="716">
      <c r="K716" s="93" t="n"/>
      <c r="L716" s="78" t="n"/>
      <c r="M716" s="78" t="n"/>
      <c r="N716" s="78" t="n"/>
    </row>
    <row r="717">
      <c r="K717" s="93" t="n"/>
      <c r="L717" s="78" t="n"/>
      <c r="M717" s="78" t="n"/>
      <c r="N717" s="78" t="n"/>
    </row>
    <row r="718">
      <c r="K718" s="93" t="n"/>
      <c r="L718" s="78" t="n"/>
      <c r="M718" s="78" t="n"/>
      <c r="N718" s="78" t="n"/>
    </row>
    <row r="719">
      <c r="K719" s="93" t="n"/>
      <c r="L719" s="78" t="n"/>
      <c r="M719" s="78" t="n"/>
      <c r="N719" s="78" t="n"/>
    </row>
    <row r="720">
      <c r="K720" s="93" t="n"/>
      <c r="L720" s="78" t="n"/>
      <c r="M720" s="78" t="n"/>
      <c r="N720" s="78" t="n"/>
    </row>
    <row r="721">
      <c r="K721" s="93" t="n"/>
      <c r="L721" s="78" t="n"/>
      <c r="M721" s="78" t="n"/>
      <c r="N721" s="78" t="n"/>
    </row>
    <row r="722">
      <c r="K722" s="93" t="n"/>
      <c r="L722" s="78" t="n"/>
      <c r="M722" s="78" t="n"/>
      <c r="N722" s="78" t="n"/>
    </row>
    <row r="723">
      <c r="K723" s="93" t="n"/>
      <c r="L723" s="78" t="n"/>
      <c r="M723" s="78" t="n"/>
      <c r="N723" s="78" t="n"/>
    </row>
    <row r="724">
      <c r="K724" s="93" t="n"/>
      <c r="L724" s="78" t="n"/>
      <c r="M724" s="78" t="n"/>
      <c r="N724" s="78" t="n"/>
    </row>
    <row r="725">
      <c r="K725" s="93" t="n"/>
      <c r="L725" s="78" t="n"/>
      <c r="M725" s="78" t="n"/>
      <c r="N725" s="78" t="n"/>
    </row>
    <row r="726">
      <c r="K726" s="93" t="n"/>
      <c r="L726" s="78" t="n"/>
      <c r="M726" s="78" t="n"/>
      <c r="N726" s="78" t="n"/>
    </row>
    <row r="727">
      <c r="K727" s="93" t="n"/>
      <c r="L727" s="78" t="n"/>
      <c r="M727" s="78" t="n"/>
      <c r="N727" s="78" t="n"/>
    </row>
    <row r="728">
      <c r="K728" s="93" t="n"/>
      <c r="L728" s="78" t="n"/>
      <c r="M728" s="78" t="n"/>
      <c r="N728" s="78" t="n"/>
    </row>
    <row r="729">
      <c r="K729" s="93" t="n"/>
      <c r="L729" s="78" t="n"/>
      <c r="M729" s="78" t="n"/>
      <c r="N729" s="78" t="n"/>
    </row>
    <row r="730">
      <c r="K730" s="93" t="n"/>
      <c r="L730" s="78" t="n"/>
      <c r="M730" s="78" t="n"/>
      <c r="N730" s="78" t="n"/>
    </row>
    <row r="731">
      <c r="K731" s="93" t="n"/>
      <c r="L731" s="78" t="n"/>
      <c r="M731" s="78" t="n"/>
      <c r="N731" s="78" t="n"/>
    </row>
    <row r="732">
      <c r="K732" s="93" t="n"/>
      <c r="L732" s="78" t="n"/>
      <c r="M732" s="78" t="n"/>
      <c r="N732" s="78" t="n"/>
    </row>
    <row r="733">
      <c r="K733" s="93" t="n"/>
      <c r="L733" s="78" t="n"/>
      <c r="M733" s="78" t="n"/>
      <c r="N733" s="78" t="n"/>
    </row>
    <row r="734">
      <c r="K734" s="93" t="n"/>
      <c r="L734" s="78" t="n"/>
      <c r="M734" s="78" t="n"/>
      <c r="N734" s="78" t="n"/>
    </row>
    <row r="735">
      <c r="K735" s="93" t="n"/>
      <c r="L735" s="78" t="n"/>
      <c r="M735" s="78" t="n"/>
      <c r="N735" s="78" t="n"/>
    </row>
    <row r="736">
      <c r="K736" s="93" t="n"/>
      <c r="L736" s="78" t="n"/>
      <c r="M736" s="78" t="n"/>
      <c r="N736" s="78" t="n"/>
    </row>
    <row r="737">
      <c r="K737" s="93" t="n"/>
      <c r="L737" s="78" t="n"/>
      <c r="M737" s="78" t="n"/>
      <c r="N737" s="78" t="n"/>
    </row>
    <row r="738">
      <c r="K738" s="93" t="n"/>
      <c r="L738" s="78" t="n"/>
      <c r="M738" s="78" t="n"/>
      <c r="N738" s="78" t="n"/>
    </row>
    <row r="739">
      <c r="K739" s="93" t="n"/>
      <c r="L739" s="78" t="n"/>
      <c r="M739" s="78" t="n"/>
      <c r="N739" s="78" t="n"/>
    </row>
    <row r="740">
      <c r="K740" s="93" t="n"/>
      <c r="L740" s="78" t="n"/>
      <c r="M740" s="78" t="n"/>
      <c r="N740" s="78" t="n"/>
    </row>
    <row r="741">
      <c r="K741" s="93" t="n"/>
      <c r="L741" s="78" t="n"/>
      <c r="M741" s="78" t="n"/>
      <c r="N741" s="78" t="n"/>
    </row>
    <row r="742">
      <c r="K742" s="93" t="n"/>
      <c r="L742" s="78" t="n"/>
      <c r="M742" s="78" t="n"/>
      <c r="N742" s="78" t="n"/>
    </row>
    <row r="743">
      <c r="K743" s="93" t="n"/>
      <c r="L743" s="78" t="n"/>
      <c r="M743" s="78" t="n"/>
      <c r="N743" s="78" t="n"/>
    </row>
    <row r="744">
      <c r="K744" s="93" t="n"/>
      <c r="L744" s="78" t="n"/>
      <c r="M744" s="78" t="n"/>
      <c r="N744" s="78" t="n"/>
    </row>
    <row r="745">
      <c r="K745" s="93" t="n"/>
      <c r="L745" s="78" t="n"/>
      <c r="M745" s="78" t="n"/>
      <c r="N745" s="78" t="n"/>
    </row>
    <row r="746">
      <c r="K746" s="93" t="n"/>
      <c r="L746" s="78" t="n"/>
      <c r="M746" s="78" t="n"/>
      <c r="N746" s="78" t="n"/>
    </row>
    <row r="747">
      <c r="K747" s="93" t="n"/>
      <c r="L747" s="78" t="n"/>
      <c r="M747" s="78" t="n"/>
      <c r="N747" s="78" t="n"/>
    </row>
    <row r="748">
      <c r="K748" s="93" t="n"/>
      <c r="L748" s="78" t="n"/>
      <c r="M748" s="78" t="n"/>
      <c r="N748" s="78" t="n"/>
    </row>
    <row r="749">
      <c r="K749" s="93" t="n"/>
      <c r="L749" s="78" t="n"/>
      <c r="M749" s="78" t="n"/>
      <c r="N749" s="78" t="n"/>
    </row>
    <row r="750">
      <c r="K750" s="93" t="n"/>
      <c r="L750" s="78" t="n"/>
      <c r="M750" s="78" t="n"/>
      <c r="N750" s="78" t="n"/>
    </row>
    <row r="751">
      <c r="K751" s="93" t="n"/>
      <c r="L751" s="78" t="n"/>
      <c r="M751" s="78" t="n"/>
      <c r="N751" s="78" t="n"/>
    </row>
    <row r="752">
      <c r="K752" s="93" t="n"/>
      <c r="L752" s="78" t="n"/>
      <c r="M752" s="78" t="n"/>
      <c r="N752" s="78" t="n"/>
    </row>
    <row r="753">
      <c r="K753" s="93" t="n"/>
      <c r="L753" s="78" t="n"/>
      <c r="M753" s="78" t="n"/>
      <c r="N753" s="78" t="n"/>
    </row>
    <row r="754">
      <c r="K754" s="93" t="n"/>
      <c r="L754" s="78" t="n"/>
      <c r="M754" s="78" t="n"/>
      <c r="N754" s="78" t="n"/>
    </row>
    <row r="755">
      <c r="K755" s="93" t="n"/>
      <c r="L755" s="78" t="n"/>
      <c r="M755" s="78" t="n"/>
      <c r="N755" s="78" t="n"/>
    </row>
    <row r="756">
      <c r="K756" s="93" t="n"/>
      <c r="L756" s="78" t="n"/>
      <c r="M756" s="78" t="n"/>
      <c r="N756" s="78" t="n"/>
    </row>
    <row r="757">
      <c r="K757" s="93" t="n"/>
      <c r="L757" s="78" t="n"/>
      <c r="M757" s="78" t="n"/>
      <c r="N757" s="78" t="n"/>
    </row>
    <row r="758">
      <c r="K758" s="93" t="n"/>
      <c r="L758" s="78" t="n"/>
      <c r="M758" s="78" t="n"/>
      <c r="N758" s="78" t="n"/>
    </row>
    <row r="759">
      <c r="K759" s="93" t="n"/>
      <c r="L759" s="78" t="n"/>
      <c r="M759" s="78" t="n"/>
      <c r="N759" s="78" t="n"/>
    </row>
    <row r="760">
      <c r="K760" s="93" t="n"/>
      <c r="L760" s="78" t="n"/>
      <c r="M760" s="78" t="n"/>
      <c r="N760" s="78" t="n"/>
    </row>
    <row r="761">
      <c r="K761" s="93" t="n"/>
      <c r="L761" s="78" t="n"/>
      <c r="M761" s="78" t="n"/>
      <c r="N761" s="78" t="n"/>
    </row>
    <row r="762">
      <c r="K762" s="93" t="n"/>
      <c r="L762" s="78" t="n"/>
      <c r="M762" s="78" t="n"/>
      <c r="N762" s="78" t="n"/>
    </row>
    <row r="763">
      <c r="K763" s="93" t="n"/>
      <c r="L763" s="78" t="n"/>
      <c r="M763" s="78" t="n"/>
      <c r="N763" s="78" t="n"/>
    </row>
    <row r="764">
      <c r="K764" s="93" t="n"/>
      <c r="L764" s="78" t="n"/>
      <c r="M764" s="78" t="n"/>
      <c r="N764" s="78" t="n"/>
    </row>
    <row r="765">
      <c r="K765" s="93" t="n"/>
      <c r="L765" s="78" t="n"/>
      <c r="M765" s="78" t="n"/>
      <c r="N765" s="78" t="n"/>
    </row>
    <row r="766">
      <c r="K766" s="93" t="n"/>
      <c r="L766" s="78" t="n"/>
      <c r="M766" s="78" t="n"/>
      <c r="N766" s="78" t="n"/>
    </row>
    <row r="767">
      <c r="K767" s="93" t="n"/>
      <c r="L767" s="78" t="n"/>
      <c r="M767" s="78" t="n"/>
      <c r="N767" s="78" t="n"/>
    </row>
    <row r="768">
      <c r="K768" s="93" t="n"/>
      <c r="L768" s="78" t="n"/>
      <c r="M768" s="78" t="n"/>
      <c r="N768" s="78" t="n"/>
    </row>
    <row r="769">
      <c r="K769" s="93" t="n"/>
      <c r="L769" s="78" t="n"/>
      <c r="M769" s="78" t="n"/>
      <c r="N769" s="78" t="n"/>
    </row>
    <row r="770">
      <c r="K770" s="93" t="n"/>
      <c r="L770" s="78" t="n"/>
      <c r="M770" s="78" t="n"/>
      <c r="N770" s="78" t="n"/>
    </row>
    <row r="771">
      <c r="K771" s="93" t="n"/>
      <c r="L771" s="78" t="n"/>
      <c r="M771" s="78" t="n"/>
      <c r="N771" s="78" t="n"/>
    </row>
    <row r="772">
      <c r="K772" s="93" t="n"/>
      <c r="L772" s="78" t="n"/>
      <c r="M772" s="78" t="n"/>
      <c r="N772" s="78" t="n"/>
    </row>
    <row r="773">
      <c r="K773" s="93" t="n"/>
      <c r="L773" s="78" t="n"/>
      <c r="M773" s="78" t="n"/>
      <c r="N773" s="78" t="n"/>
    </row>
    <row r="774">
      <c r="K774" s="93" t="n"/>
      <c r="L774" s="78" t="n"/>
      <c r="M774" s="78" t="n"/>
      <c r="N774" s="78" t="n"/>
    </row>
    <row r="775">
      <c r="K775" s="93" t="n"/>
      <c r="L775" s="78" t="n"/>
      <c r="M775" s="78" t="n"/>
      <c r="N775" s="78" t="n"/>
    </row>
    <row r="776">
      <c r="K776" s="93" t="n"/>
      <c r="L776" s="78" t="n"/>
      <c r="M776" s="78" t="n"/>
      <c r="N776" s="78" t="n"/>
    </row>
    <row r="777">
      <c r="K777" s="93" t="n"/>
      <c r="L777" s="78" t="n"/>
      <c r="M777" s="78" t="n"/>
      <c r="N777" s="78" t="n"/>
    </row>
    <row r="778">
      <c r="K778" s="93" t="n"/>
      <c r="L778" s="78" t="n"/>
      <c r="M778" s="78" t="n"/>
      <c r="N778" s="78" t="n"/>
    </row>
    <row r="779">
      <c r="K779" s="93" t="n"/>
      <c r="L779" s="78" t="n"/>
      <c r="M779" s="78" t="n"/>
      <c r="N779" s="78" t="n"/>
    </row>
    <row r="780">
      <c r="K780" s="93" t="n"/>
      <c r="L780" s="78" t="n"/>
      <c r="M780" s="78" t="n"/>
      <c r="N780" s="78" t="n"/>
    </row>
    <row r="781">
      <c r="K781" s="93" t="n"/>
      <c r="L781" s="78" t="n"/>
      <c r="M781" s="78" t="n"/>
      <c r="N781" s="78" t="n"/>
    </row>
    <row r="782">
      <c r="K782" s="93" t="n"/>
      <c r="L782" s="78" t="n"/>
      <c r="M782" s="78" t="n"/>
      <c r="N782" s="78" t="n"/>
    </row>
    <row r="783">
      <c r="K783" s="93" t="n"/>
      <c r="L783" s="78" t="n"/>
      <c r="M783" s="78" t="n"/>
      <c r="N783" s="78" t="n"/>
    </row>
    <row r="784">
      <c r="K784" s="93" t="n"/>
      <c r="L784" s="78" t="n"/>
      <c r="M784" s="78" t="n"/>
      <c r="N784" s="78" t="n"/>
    </row>
    <row r="785">
      <c r="K785" s="93" t="n"/>
      <c r="L785" s="78" t="n"/>
      <c r="M785" s="78" t="n"/>
      <c r="N785" s="78" t="n"/>
    </row>
    <row r="786">
      <c r="K786" s="93" t="n"/>
      <c r="L786" s="78" t="n"/>
      <c r="M786" s="78" t="n"/>
      <c r="N786" s="78" t="n"/>
    </row>
    <row r="787">
      <c r="K787" s="93" t="n"/>
      <c r="L787" s="78" t="n"/>
      <c r="M787" s="78" t="n"/>
      <c r="N787" s="78" t="n"/>
    </row>
    <row r="788">
      <c r="K788" s="93" t="n"/>
      <c r="L788" s="78" t="n"/>
      <c r="M788" s="78" t="n"/>
      <c r="N788" s="78" t="n"/>
    </row>
    <row r="789">
      <c r="K789" s="93" t="n"/>
      <c r="L789" s="78" t="n"/>
      <c r="M789" s="78" t="n"/>
      <c r="N789" s="78" t="n"/>
    </row>
    <row r="790">
      <c r="K790" s="93" t="n"/>
      <c r="L790" s="78" t="n"/>
      <c r="M790" s="78" t="n"/>
      <c r="N790" s="78" t="n"/>
    </row>
    <row r="791">
      <c r="K791" s="93" t="n"/>
      <c r="L791" s="78" t="n"/>
      <c r="M791" s="78" t="n"/>
      <c r="N791" s="78" t="n"/>
    </row>
    <row r="792">
      <c r="K792" s="93" t="n"/>
      <c r="L792" s="78" t="n"/>
      <c r="M792" s="78" t="n"/>
      <c r="N792" s="78" t="n"/>
    </row>
    <row r="793">
      <c r="K793" s="93" t="n"/>
      <c r="L793" s="78" t="n"/>
      <c r="M793" s="78" t="n"/>
      <c r="N793" s="78" t="n"/>
    </row>
    <row r="794">
      <c r="K794" s="93" t="n"/>
      <c r="L794" s="78" t="n"/>
      <c r="M794" s="78" t="n"/>
      <c r="N794" s="78" t="n"/>
    </row>
    <row r="795">
      <c r="K795" s="93" t="n"/>
      <c r="L795" s="78" t="n"/>
      <c r="M795" s="78" t="n"/>
      <c r="N795" s="78" t="n"/>
    </row>
    <row r="796">
      <c r="K796" s="93" t="n"/>
      <c r="L796" s="78" t="n"/>
      <c r="M796" s="78" t="n"/>
      <c r="N796" s="78" t="n"/>
    </row>
    <row r="797">
      <c r="K797" s="93" t="n"/>
      <c r="L797" s="78" t="n"/>
      <c r="M797" s="78" t="n"/>
      <c r="N797" s="78" t="n"/>
    </row>
    <row r="798">
      <c r="K798" s="93" t="n"/>
      <c r="L798" s="78" t="n"/>
      <c r="M798" s="78" t="n"/>
      <c r="N798" s="78" t="n"/>
    </row>
    <row r="799">
      <c r="K799" s="93" t="n"/>
      <c r="L799" s="78" t="n"/>
      <c r="M799" s="78" t="n"/>
      <c r="N799" s="78" t="n"/>
    </row>
    <row r="800">
      <c r="K800" s="93" t="n"/>
      <c r="L800" s="78" t="n"/>
      <c r="M800" s="78" t="n"/>
      <c r="N800" s="78" t="n"/>
    </row>
    <row r="801">
      <c r="K801" s="93" t="n"/>
      <c r="L801" s="78" t="n"/>
      <c r="M801" s="78" t="n"/>
      <c r="N801" s="78" t="n"/>
    </row>
    <row r="802">
      <c r="K802" s="93" t="n"/>
      <c r="L802" s="78" t="n"/>
      <c r="M802" s="78" t="n"/>
      <c r="N802" s="78" t="n"/>
    </row>
    <row r="803">
      <c r="K803" s="93" t="n"/>
      <c r="L803" s="78" t="n"/>
      <c r="M803" s="78" t="n"/>
      <c r="N803" s="78" t="n"/>
    </row>
    <row r="804">
      <c r="K804" s="93" t="n"/>
      <c r="L804" s="78" t="n"/>
      <c r="M804" s="78" t="n"/>
      <c r="N804" s="78" t="n"/>
    </row>
    <row r="805">
      <c r="K805" s="93" t="n"/>
      <c r="L805" s="78" t="n"/>
      <c r="M805" s="78" t="n"/>
      <c r="N805" s="78" t="n"/>
    </row>
    <row r="806">
      <c r="K806" s="93" t="n"/>
      <c r="L806" s="78" t="n"/>
      <c r="M806" s="78" t="n"/>
      <c r="N806" s="78" t="n"/>
    </row>
    <row r="807">
      <c r="K807" s="93" t="n"/>
      <c r="L807" s="78" t="n"/>
      <c r="M807" s="78" t="n"/>
      <c r="N807" s="78" t="n"/>
    </row>
    <row r="808">
      <c r="K808" s="93" t="n"/>
      <c r="L808" s="78" t="n"/>
      <c r="M808" s="78" t="n"/>
      <c r="N808" s="78" t="n"/>
    </row>
    <row r="809">
      <c r="K809" s="93" t="n"/>
      <c r="L809" s="78" t="n"/>
      <c r="M809" s="78" t="n"/>
      <c r="N809" s="78" t="n"/>
    </row>
    <row r="810">
      <c r="K810" s="93" t="n"/>
      <c r="L810" s="78" t="n"/>
      <c r="M810" s="78" t="n"/>
      <c r="N810" s="78" t="n"/>
    </row>
    <row r="811">
      <c r="K811" s="93" t="n"/>
      <c r="L811" s="78" t="n"/>
      <c r="M811" s="78" t="n"/>
      <c r="N811" s="78" t="n"/>
    </row>
    <row r="812">
      <c r="K812" s="93" t="n"/>
      <c r="L812" s="78" t="n"/>
      <c r="M812" s="78" t="n"/>
      <c r="N812" s="78" t="n"/>
    </row>
    <row r="813">
      <c r="K813" s="93" t="n"/>
      <c r="L813" s="78" t="n"/>
      <c r="M813" s="78" t="n"/>
      <c r="N813" s="78" t="n"/>
    </row>
    <row r="814">
      <c r="K814" s="93" t="n"/>
      <c r="L814" s="78" t="n"/>
      <c r="M814" s="78" t="n"/>
      <c r="N814" s="78" t="n"/>
    </row>
    <row r="815">
      <c r="K815" s="93" t="n"/>
      <c r="L815" s="78" t="n"/>
      <c r="M815" s="78" t="n"/>
      <c r="N815" s="78" t="n"/>
    </row>
    <row r="816">
      <c r="K816" s="93" t="n"/>
      <c r="L816" s="78" t="n"/>
      <c r="M816" s="78" t="n"/>
      <c r="N816" s="78" t="n"/>
    </row>
    <row r="817">
      <c r="K817" s="93" t="n"/>
      <c r="L817" s="78" t="n"/>
      <c r="M817" s="78" t="n"/>
      <c r="N817" s="78" t="n"/>
    </row>
    <row r="818">
      <c r="K818" s="93" t="n"/>
      <c r="L818" s="78" t="n"/>
      <c r="M818" s="78" t="n"/>
      <c r="N818" s="78" t="n"/>
    </row>
    <row r="819">
      <c r="K819" s="93" t="n"/>
      <c r="L819" s="78" t="n"/>
      <c r="M819" s="78" t="n"/>
      <c r="N819" s="78" t="n"/>
    </row>
    <row r="820">
      <c r="K820" s="93" t="n"/>
      <c r="L820" s="78" t="n"/>
      <c r="M820" s="78" t="n"/>
      <c r="N820" s="78" t="n"/>
    </row>
    <row r="821">
      <c r="K821" s="93" t="n"/>
      <c r="L821" s="78" t="n"/>
      <c r="M821" s="78" t="n"/>
      <c r="N821" s="78" t="n"/>
    </row>
    <row r="822">
      <c r="K822" s="93" t="n"/>
      <c r="L822" s="78" t="n"/>
      <c r="M822" s="78" t="n"/>
      <c r="N822" s="78" t="n"/>
    </row>
    <row r="823">
      <c r="K823" s="93" t="n"/>
      <c r="L823" s="78" t="n"/>
      <c r="M823" s="78" t="n"/>
      <c r="N823" s="78" t="n"/>
    </row>
    <row r="824">
      <c r="K824" s="93" t="n"/>
      <c r="L824" s="78" t="n"/>
      <c r="M824" s="78" t="n"/>
      <c r="N824" s="78" t="n"/>
    </row>
    <row r="825">
      <c r="K825" s="93" t="n"/>
      <c r="L825" s="78" t="n"/>
      <c r="M825" s="78" t="n"/>
      <c r="N825" s="78" t="n"/>
    </row>
    <row r="826">
      <c r="K826" s="93" t="n"/>
      <c r="L826" s="78" t="n"/>
      <c r="M826" s="78" t="n"/>
      <c r="N826" s="78" t="n"/>
    </row>
    <row r="827">
      <c r="K827" s="93" t="n"/>
      <c r="L827" s="78" t="n"/>
      <c r="M827" s="78" t="n"/>
      <c r="N827" s="78" t="n"/>
    </row>
    <row r="828">
      <c r="K828" s="93" t="n"/>
      <c r="L828" s="78" t="n"/>
      <c r="M828" s="78" t="n"/>
      <c r="N828" s="78" t="n"/>
    </row>
    <row r="829">
      <c r="K829" s="93" t="n"/>
      <c r="L829" s="78" t="n"/>
      <c r="M829" s="78" t="n"/>
      <c r="N829" s="78" t="n"/>
    </row>
    <row r="830">
      <c r="K830" s="93" t="n"/>
      <c r="L830" s="78" t="n"/>
      <c r="M830" s="78" t="n"/>
      <c r="N830" s="78" t="n"/>
    </row>
    <row r="831">
      <c r="K831" s="93" t="n"/>
      <c r="L831" s="78" t="n"/>
      <c r="M831" s="78" t="n"/>
      <c r="N831" s="78" t="n"/>
    </row>
    <row r="832">
      <c r="K832" s="93" t="n"/>
      <c r="L832" s="78" t="n"/>
      <c r="M832" s="78" t="n"/>
      <c r="N832" s="78" t="n"/>
    </row>
    <row r="833">
      <c r="K833" s="93" t="n"/>
      <c r="L833" s="78" t="n"/>
      <c r="M833" s="78" t="n"/>
      <c r="N833" s="78" t="n"/>
    </row>
    <row r="834">
      <c r="K834" s="93" t="n"/>
      <c r="L834" s="78" t="n"/>
      <c r="M834" s="78" t="n"/>
      <c r="N834" s="78" t="n"/>
    </row>
    <row r="835">
      <c r="K835" s="93" t="n"/>
      <c r="L835" s="78" t="n"/>
      <c r="M835" s="78" t="n"/>
      <c r="N835" s="78" t="n"/>
    </row>
    <row r="836">
      <c r="K836" s="93" t="n"/>
      <c r="L836" s="78" t="n"/>
      <c r="M836" s="78" t="n"/>
      <c r="N836" s="78" t="n"/>
    </row>
    <row r="837">
      <c r="K837" s="93" t="n"/>
      <c r="L837" s="78" t="n"/>
      <c r="M837" s="78" t="n"/>
      <c r="N837" s="78" t="n"/>
    </row>
    <row r="838">
      <c r="K838" s="93" t="n"/>
      <c r="L838" s="78" t="n"/>
      <c r="M838" s="78" t="n"/>
      <c r="N838" s="78" t="n"/>
    </row>
    <row r="839">
      <c r="K839" s="93" t="n"/>
      <c r="L839" s="78" t="n"/>
      <c r="M839" s="78" t="n"/>
      <c r="N839" s="78" t="n"/>
    </row>
    <row r="840">
      <c r="K840" s="93" t="n"/>
      <c r="L840" s="78" t="n"/>
      <c r="M840" s="78" t="n"/>
      <c r="N840" s="78" t="n"/>
    </row>
    <row r="841">
      <c r="K841" s="93" t="n"/>
      <c r="L841" s="78" t="n"/>
      <c r="M841" s="78" t="n"/>
      <c r="N841" s="78" t="n"/>
    </row>
    <row r="842">
      <c r="K842" s="93" t="n"/>
      <c r="L842" s="78" t="n"/>
      <c r="M842" s="78" t="n"/>
      <c r="N842" s="78" t="n"/>
    </row>
    <row r="843">
      <c r="K843" s="93" t="n"/>
      <c r="L843" s="78" t="n"/>
      <c r="M843" s="78" t="n"/>
      <c r="N843" s="78" t="n"/>
    </row>
    <row r="844">
      <c r="K844" s="93" t="n"/>
      <c r="L844" s="78" t="n"/>
      <c r="M844" s="78" t="n"/>
      <c r="N844" s="78" t="n"/>
    </row>
    <row r="845">
      <c r="K845" s="93" t="n"/>
      <c r="L845" s="78" t="n"/>
      <c r="M845" s="78" t="n"/>
      <c r="N845" s="78" t="n"/>
    </row>
    <row r="846">
      <c r="K846" s="93" t="n"/>
      <c r="L846" s="78" t="n"/>
      <c r="M846" s="78" t="n"/>
      <c r="N846" s="78" t="n"/>
    </row>
    <row r="847">
      <c r="K847" s="93" t="n"/>
      <c r="L847" s="78" t="n"/>
      <c r="M847" s="78" t="n"/>
      <c r="N847" s="78" t="n"/>
    </row>
    <row r="848">
      <c r="K848" s="93" t="n"/>
      <c r="L848" s="78" t="n"/>
      <c r="M848" s="78" t="n"/>
      <c r="N848" s="78" t="n"/>
    </row>
    <row r="849">
      <c r="K849" s="93" t="n"/>
      <c r="L849" s="78" t="n"/>
      <c r="M849" s="78" t="n"/>
      <c r="N849" s="78" t="n"/>
    </row>
    <row r="850">
      <c r="K850" s="93" t="n"/>
      <c r="L850" s="78" t="n"/>
      <c r="M850" s="78" t="n"/>
      <c r="N850" s="78" t="n"/>
    </row>
    <row r="851">
      <c r="K851" s="93" t="n"/>
      <c r="L851" s="78" t="n"/>
      <c r="M851" s="78" t="n"/>
      <c r="N851" s="78" t="n"/>
    </row>
    <row r="852">
      <c r="K852" s="93" t="n"/>
      <c r="L852" s="78" t="n"/>
      <c r="M852" s="78" t="n"/>
      <c r="N852" s="78" t="n"/>
    </row>
    <row r="853">
      <c r="K853" s="93" t="n"/>
      <c r="L853" s="78" t="n"/>
      <c r="M853" s="78" t="n"/>
      <c r="N853" s="78" t="n"/>
    </row>
    <row r="854">
      <c r="K854" s="93" t="n"/>
      <c r="L854" s="78" t="n"/>
      <c r="M854" s="78" t="n"/>
      <c r="N854" s="78" t="n"/>
    </row>
    <row r="855">
      <c r="K855" s="93" t="n"/>
      <c r="L855" s="78" t="n"/>
      <c r="M855" s="78" t="n"/>
      <c r="N855" s="78" t="n"/>
    </row>
    <row r="856">
      <c r="K856" s="93" t="n"/>
      <c r="L856" s="78" t="n"/>
      <c r="M856" s="78" t="n"/>
      <c r="N856" s="78" t="n"/>
    </row>
    <row r="857">
      <c r="K857" s="93" t="n"/>
      <c r="L857" s="78" t="n"/>
      <c r="M857" s="78" t="n"/>
      <c r="N857" s="78" t="n"/>
    </row>
    <row r="858">
      <c r="K858" s="93" t="n"/>
      <c r="L858" s="78" t="n"/>
      <c r="M858" s="78" t="n"/>
      <c r="N858" s="78" t="n"/>
    </row>
    <row r="859">
      <c r="K859" s="93" t="n"/>
      <c r="L859" s="78" t="n"/>
      <c r="M859" s="78" t="n"/>
      <c r="N859" s="78" t="n"/>
    </row>
    <row r="860">
      <c r="K860" s="93" t="n"/>
      <c r="L860" s="78" t="n"/>
      <c r="M860" s="78" t="n"/>
      <c r="N860" s="78" t="n"/>
    </row>
    <row r="861">
      <c r="K861" s="93" t="n"/>
      <c r="L861" s="78" t="n"/>
      <c r="M861" s="78" t="n"/>
      <c r="N861" s="78" t="n"/>
    </row>
    <row r="862">
      <c r="K862" s="93" t="n"/>
      <c r="L862" s="78" t="n"/>
      <c r="M862" s="78" t="n"/>
      <c r="N862" s="78" t="n"/>
    </row>
    <row r="863">
      <c r="K863" s="93" t="n"/>
      <c r="L863" s="78" t="n"/>
      <c r="M863" s="78" t="n"/>
      <c r="N863" s="78" t="n"/>
    </row>
    <row r="864">
      <c r="K864" s="93" t="n"/>
      <c r="L864" s="78" t="n"/>
      <c r="M864" s="78" t="n"/>
      <c r="N864" s="78" t="n"/>
    </row>
    <row r="865">
      <c r="K865" s="93" t="n"/>
      <c r="L865" s="78" t="n"/>
      <c r="M865" s="78" t="n"/>
      <c r="N865" s="78" t="n"/>
    </row>
    <row r="866">
      <c r="K866" s="93" t="n"/>
      <c r="L866" s="78" t="n"/>
      <c r="M866" s="78" t="n"/>
      <c r="N866" s="78" t="n"/>
    </row>
    <row r="867">
      <c r="K867" s="93" t="n"/>
      <c r="L867" s="78" t="n"/>
      <c r="M867" s="78" t="n"/>
      <c r="N867" s="78" t="n"/>
    </row>
    <row r="868">
      <c r="K868" s="93" t="n"/>
      <c r="L868" s="78" t="n"/>
      <c r="M868" s="78" t="n"/>
      <c r="N868" s="78" t="n"/>
    </row>
    <row r="869">
      <c r="K869" s="93" t="n"/>
      <c r="L869" s="78" t="n"/>
      <c r="M869" s="78" t="n"/>
      <c r="N869" s="78" t="n"/>
    </row>
    <row r="870">
      <c r="K870" s="93" t="n"/>
      <c r="L870" s="78" t="n"/>
      <c r="M870" s="78" t="n"/>
      <c r="N870" s="78" t="n"/>
    </row>
    <row r="871">
      <c r="K871" s="93" t="n"/>
      <c r="L871" s="78" t="n"/>
      <c r="M871" s="78" t="n"/>
      <c r="N871" s="78" t="n"/>
    </row>
    <row r="872">
      <c r="K872" s="93" t="n"/>
      <c r="L872" s="78" t="n"/>
      <c r="M872" s="78" t="n"/>
      <c r="N872" s="78" t="n"/>
    </row>
    <row r="873">
      <c r="K873" s="93" t="n"/>
      <c r="L873" s="78" t="n"/>
      <c r="M873" s="78" t="n"/>
      <c r="N873" s="78" t="n"/>
    </row>
    <row r="874">
      <c r="K874" s="93" t="n"/>
      <c r="L874" s="78" t="n"/>
      <c r="M874" s="78" t="n"/>
      <c r="N874" s="78" t="n"/>
    </row>
    <row r="875">
      <c r="K875" s="93" t="n"/>
      <c r="L875" s="78" t="n"/>
      <c r="M875" s="78" t="n"/>
      <c r="N875" s="78" t="n"/>
    </row>
    <row r="876">
      <c r="K876" s="93" t="n"/>
      <c r="L876" s="78" t="n"/>
      <c r="M876" s="78" t="n"/>
      <c r="N876" s="78" t="n"/>
    </row>
    <row r="877">
      <c r="K877" s="93" t="n"/>
      <c r="L877" s="78" t="n"/>
      <c r="M877" s="78" t="n"/>
      <c r="N877" s="78" t="n"/>
    </row>
    <row r="878">
      <c r="K878" s="93" t="n"/>
      <c r="L878" s="78" t="n"/>
      <c r="M878" s="78" t="n"/>
      <c r="N878" s="78" t="n"/>
    </row>
    <row r="879">
      <c r="K879" s="93" t="n"/>
      <c r="L879" s="78" t="n"/>
      <c r="M879" s="78" t="n"/>
      <c r="N879" s="78" t="n"/>
    </row>
    <row r="880">
      <c r="K880" s="93" t="n"/>
      <c r="L880" s="78" t="n"/>
      <c r="M880" s="78" t="n"/>
      <c r="N880" s="78" t="n"/>
    </row>
    <row r="881">
      <c r="K881" s="93" t="n"/>
      <c r="L881" s="78" t="n"/>
      <c r="M881" s="78" t="n"/>
      <c r="N881" s="78" t="n"/>
    </row>
    <row r="882">
      <c r="K882" s="93" t="n"/>
      <c r="L882" s="78" t="n"/>
      <c r="M882" s="78" t="n"/>
      <c r="N882" s="78" t="n"/>
    </row>
    <row r="883">
      <c r="K883" s="93" t="n"/>
      <c r="L883" s="78" t="n"/>
      <c r="M883" s="78" t="n"/>
      <c r="N883" s="78" t="n"/>
    </row>
    <row r="884">
      <c r="K884" s="93" t="n"/>
      <c r="L884" s="78" t="n"/>
      <c r="M884" s="78" t="n"/>
      <c r="N884" s="78" t="n"/>
    </row>
    <row r="885">
      <c r="K885" s="93" t="n"/>
      <c r="L885" s="78" t="n"/>
      <c r="M885" s="78" t="n"/>
      <c r="N885" s="78" t="n"/>
    </row>
    <row r="886">
      <c r="K886" s="93" t="n"/>
      <c r="L886" s="78" t="n"/>
      <c r="M886" s="78" t="n"/>
      <c r="N886" s="78" t="n"/>
    </row>
    <row r="887">
      <c r="K887" s="93" t="n"/>
      <c r="L887" s="78" t="n"/>
      <c r="M887" s="78" t="n"/>
      <c r="N887" s="78" t="n"/>
    </row>
    <row r="888">
      <c r="K888" s="93" t="n"/>
      <c r="L888" s="78" t="n"/>
      <c r="M888" s="78" t="n"/>
      <c r="N888" s="78" t="n"/>
    </row>
    <row r="889">
      <c r="K889" s="93" t="n"/>
      <c r="L889" s="78" t="n"/>
      <c r="M889" s="78" t="n"/>
      <c r="N889" s="78" t="n"/>
    </row>
    <row r="890">
      <c r="K890" s="93" t="n"/>
      <c r="L890" s="78" t="n"/>
      <c r="M890" s="78" t="n"/>
      <c r="N890" s="78" t="n"/>
    </row>
    <row r="891">
      <c r="K891" s="93" t="n"/>
      <c r="L891" s="78" t="n"/>
      <c r="M891" s="78" t="n"/>
      <c r="N891" s="78" t="n"/>
    </row>
    <row r="892">
      <c r="K892" s="93" t="n"/>
      <c r="L892" s="78" t="n"/>
      <c r="M892" s="78" t="n"/>
      <c r="N892" s="78" t="n"/>
    </row>
    <row r="893">
      <c r="K893" s="93" t="n"/>
      <c r="L893" s="78" t="n"/>
      <c r="M893" s="78" t="n"/>
      <c r="N893" s="78" t="n"/>
    </row>
    <row r="894">
      <c r="K894" s="93" t="n"/>
      <c r="L894" s="78" t="n"/>
      <c r="M894" s="78" t="n"/>
      <c r="N894" s="78" t="n"/>
    </row>
    <row r="895">
      <c r="K895" s="93" t="n"/>
      <c r="L895" s="78" t="n"/>
      <c r="M895" s="78" t="n"/>
      <c r="N895" s="78" t="n"/>
    </row>
    <row r="896">
      <c r="K896" s="93" t="n"/>
      <c r="L896" s="78" t="n"/>
      <c r="M896" s="78" t="n"/>
      <c r="N896" s="78" t="n"/>
    </row>
    <row r="897">
      <c r="K897" s="93" t="n"/>
      <c r="L897" s="78" t="n"/>
      <c r="M897" s="78" t="n"/>
      <c r="N897" s="78" t="n"/>
    </row>
    <row r="898">
      <c r="K898" s="93" t="n"/>
      <c r="L898" s="78" t="n"/>
      <c r="M898" s="78" t="n"/>
      <c r="N898" s="78" t="n"/>
    </row>
    <row r="899">
      <c r="K899" s="93" t="n"/>
      <c r="L899" s="78" t="n"/>
      <c r="M899" s="78" t="n"/>
      <c r="N899" s="78" t="n"/>
    </row>
    <row r="900">
      <c r="K900" s="93" t="n"/>
      <c r="L900" s="78" t="n"/>
      <c r="M900" s="78" t="n"/>
      <c r="N900" s="78" t="n"/>
    </row>
    <row r="901">
      <c r="K901" s="93" t="n"/>
      <c r="L901" s="78" t="n"/>
      <c r="M901" s="78" t="n"/>
      <c r="N901" s="78" t="n"/>
    </row>
    <row r="902">
      <c r="K902" s="93" t="n"/>
      <c r="L902" s="78" t="n"/>
      <c r="M902" s="78" t="n"/>
      <c r="N902" s="78" t="n"/>
    </row>
    <row r="903">
      <c r="K903" s="93" t="n"/>
      <c r="L903" s="78" t="n"/>
      <c r="M903" s="78" t="n"/>
      <c r="N903" s="78" t="n"/>
    </row>
    <row r="904">
      <c r="K904" s="93" t="n"/>
      <c r="L904" s="78" t="n"/>
      <c r="M904" s="78" t="n"/>
      <c r="N904" s="78" t="n"/>
    </row>
    <row r="905">
      <c r="K905" s="93" t="n"/>
      <c r="L905" s="78" t="n"/>
      <c r="M905" s="78" t="n"/>
      <c r="N905" s="78" t="n"/>
    </row>
    <row r="906">
      <c r="K906" s="93" t="n"/>
      <c r="L906" s="78" t="n"/>
      <c r="M906" s="78" t="n"/>
      <c r="N906" s="78" t="n"/>
    </row>
    <row r="907">
      <c r="K907" s="93" t="n"/>
      <c r="L907" s="78" t="n"/>
      <c r="M907" s="78" t="n"/>
      <c r="N907" s="78" t="n"/>
    </row>
    <row r="908">
      <c r="K908" s="93" t="n"/>
      <c r="L908" s="78" t="n"/>
      <c r="M908" s="78" t="n"/>
      <c r="N908" s="78" t="n"/>
    </row>
    <row r="909">
      <c r="K909" s="93" t="n"/>
      <c r="L909" s="78" t="n"/>
      <c r="M909" s="78" t="n"/>
      <c r="N909" s="78" t="n"/>
    </row>
    <row r="910">
      <c r="K910" s="93" t="n"/>
      <c r="L910" s="78" t="n"/>
      <c r="M910" s="78" t="n"/>
      <c r="N910" s="78" t="n"/>
    </row>
    <row r="911">
      <c r="K911" s="93" t="n"/>
      <c r="L911" s="78" t="n"/>
      <c r="M911" s="78" t="n"/>
      <c r="N911" s="78" t="n"/>
    </row>
    <row r="912">
      <c r="K912" s="93" t="n"/>
      <c r="L912" s="78" t="n"/>
      <c r="M912" s="78" t="n"/>
      <c r="N912" s="78" t="n"/>
    </row>
    <row r="913">
      <c r="K913" s="93" t="n"/>
      <c r="L913" s="78" t="n"/>
      <c r="M913" s="78" t="n"/>
      <c r="N913" s="78" t="n"/>
    </row>
    <row r="914">
      <c r="K914" s="93" t="n"/>
      <c r="L914" s="78" t="n"/>
      <c r="M914" s="78" t="n"/>
      <c r="N914" s="78" t="n"/>
    </row>
    <row r="915">
      <c r="K915" s="93" t="n"/>
      <c r="L915" s="78" t="n"/>
      <c r="M915" s="78" t="n"/>
      <c r="N915" s="78" t="n"/>
    </row>
    <row r="916">
      <c r="K916" s="93" t="n"/>
      <c r="L916" s="78" t="n"/>
      <c r="M916" s="78" t="n"/>
      <c r="N916" s="78" t="n"/>
    </row>
    <row r="917">
      <c r="K917" s="93" t="n"/>
      <c r="L917" s="78" t="n"/>
      <c r="M917" s="78" t="n"/>
      <c r="N917" s="78" t="n"/>
    </row>
    <row r="918">
      <c r="K918" s="93" t="n"/>
      <c r="L918" s="78" t="n"/>
      <c r="M918" s="78" t="n"/>
      <c r="N918" s="78" t="n"/>
    </row>
    <row r="919">
      <c r="K919" s="93" t="n"/>
      <c r="L919" s="78" t="n"/>
      <c r="M919" s="78" t="n"/>
      <c r="N919" s="78" t="n"/>
    </row>
    <row r="920">
      <c r="K920" s="93" t="n"/>
      <c r="L920" s="78" t="n"/>
      <c r="M920" s="78" t="n"/>
      <c r="N920" s="78" t="n"/>
    </row>
    <row r="921">
      <c r="K921" s="93" t="n"/>
      <c r="L921" s="78" t="n"/>
      <c r="M921" s="78" t="n"/>
      <c r="N921" s="78" t="n"/>
    </row>
    <row r="922">
      <c r="K922" s="93" t="n"/>
      <c r="L922" s="78" t="n"/>
      <c r="M922" s="78" t="n"/>
      <c r="N922" s="78" t="n"/>
    </row>
    <row r="923">
      <c r="K923" s="93" t="n"/>
      <c r="L923" s="78" t="n"/>
      <c r="M923" s="78" t="n"/>
      <c r="N923" s="78" t="n"/>
    </row>
    <row r="924">
      <c r="K924" s="93" t="n"/>
      <c r="L924" s="78" t="n"/>
      <c r="M924" s="78" t="n"/>
      <c r="N924" s="78" t="n"/>
    </row>
    <row r="925">
      <c r="K925" s="93" t="n"/>
      <c r="L925" s="78" t="n"/>
      <c r="M925" s="78" t="n"/>
      <c r="N925" s="78" t="n"/>
    </row>
    <row r="926">
      <c r="K926" s="93" t="n"/>
      <c r="L926" s="78" t="n"/>
      <c r="M926" s="78" t="n"/>
      <c r="N926" s="78" t="n"/>
    </row>
    <row r="927">
      <c r="K927" s="93" t="n"/>
      <c r="L927" s="78" t="n"/>
      <c r="M927" s="78" t="n"/>
      <c r="N927" s="78" t="n"/>
    </row>
    <row r="928">
      <c r="K928" s="93" t="n"/>
      <c r="L928" s="78" t="n"/>
      <c r="M928" s="78" t="n"/>
      <c r="N928" s="78" t="n"/>
    </row>
    <row r="929">
      <c r="K929" s="93" t="n"/>
      <c r="L929" s="78" t="n"/>
      <c r="M929" s="78" t="n"/>
      <c r="N929" s="78" t="n"/>
    </row>
    <row r="930">
      <c r="K930" s="93" t="n"/>
      <c r="L930" s="78" t="n"/>
      <c r="M930" s="78" t="n"/>
      <c r="N930" s="78" t="n"/>
    </row>
    <row r="931">
      <c r="K931" s="93" t="n"/>
      <c r="L931" s="78" t="n"/>
      <c r="M931" s="78" t="n"/>
      <c r="N931" s="78" t="n"/>
    </row>
    <row r="932">
      <c r="K932" s="93" t="n"/>
      <c r="L932" s="78" t="n"/>
      <c r="M932" s="78" t="n"/>
      <c r="N932" s="78" t="n"/>
    </row>
    <row r="933">
      <c r="K933" s="93" t="n"/>
      <c r="L933" s="78" t="n"/>
      <c r="M933" s="78" t="n"/>
      <c r="N933" s="78" t="n"/>
    </row>
    <row r="934">
      <c r="K934" s="93" t="n"/>
      <c r="L934" s="78" t="n"/>
      <c r="M934" s="78" t="n"/>
      <c r="N934" s="78" t="n"/>
    </row>
    <row r="935">
      <c r="K935" s="93" t="n"/>
      <c r="L935" s="78" t="n"/>
      <c r="M935" s="78" t="n"/>
      <c r="N935" s="78" t="n"/>
    </row>
    <row r="936">
      <c r="K936" s="93" t="n"/>
      <c r="L936" s="78" t="n"/>
      <c r="M936" s="78" t="n"/>
      <c r="N936" s="78" t="n"/>
    </row>
    <row r="937">
      <c r="K937" s="93" t="n"/>
      <c r="L937" s="78" t="n"/>
      <c r="M937" s="78" t="n"/>
      <c r="N937" s="78" t="n"/>
    </row>
    <row r="938">
      <c r="K938" s="93" t="n"/>
      <c r="L938" s="78" t="n"/>
      <c r="M938" s="78" t="n"/>
      <c r="N938" s="78" t="n"/>
    </row>
    <row r="939">
      <c r="K939" s="93" t="n"/>
      <c r="L939" s="78" t="n"/>
      <c r="M939" s="78" t="n"/>
      <c r="N939" s="78" t="n"/>
    </row>
    <row r="940">
      <c r="K940" s="93" t="n"/>
      <c r="L940" s="78" t="n"/>
      <c r="M940" s="78" t="n"/>
      <c r="N940" s="78" t="n"/>
    </row>
    <row r="941">
      <c r="K941" s="93" t="n"/>
      <c r="L941" s="78" t="n"/>
      <c r="M941" s="78" t="n"/>
      <c r="N941" s="78" t="n"/>
    </row>
    <row r="942">
      <c r="K942" s="93" t="n"/>
      <c r="L942" s="78" t="n"/>
      <c r="M942" s="78" t="n"/>
      <c r="N942" s="78" t="n"/>
    </row>
    <row r="943">
      <c r="K943" s="93" t="n"/>
      <c r="L943" s="78" t="n"/>
      <c r="M943" s="78" t="n"/>
      <c r="N943" s="78" t="n"/>
    </row>
    <row r="944">
      <c r="K944" s="93" t="n"/>
      <c r="L944" s="78" t="n"/>
      <c r="M944" s="78" t="n"/>
      <c r="N944" s="78" t="n"/>
    </row>
    <row r="945">
      <c r="K945" s="93" t="n"/>
      <c r="L945" s="78" t="n"/>
      <c r="M945" s="78" t="n"/>
      <c r="N945" s="78" t="n"/>
    </row>
    <row r="946">
      <c r="K946" s="93" t="n"/>
      <c r="L946" s="78" t="n"/>
      <c r="M946" s="78" t="n"/>
      <c r="N946" s="78" t="n"/>
    </row>
    <row r="947">
      <c r="K947" s="93" t="n"/>
      <c r="L947" s="78" t="n"/>
      <c r="M947" s="78" t="n"/>
      <c r="N947" s="78" t="n"/>
    </row>
    <row r="948">
      <c r="K948" s="93" t="n"/>
      <c r="L948" s="78" t="n"/>
      <c r="M948" s="78" t="n"/>
      <c r="N948" s="78" t="n"/>
    </row>
    <row r="949">
      <c r="K949" s="93" t="n"/>
      <c r="L949" s="78" t="n"/>
      <c r="M949" s="78" t="n"/>
      <c r="N949" s="78" t="n"/>
    </row>
    <row r="950">
      <c r="K950" s="93" t="n"/>
      <c r="L950" s="78" t="n"/>
      <c r="M950" s="78" t="n"/>
      <c r="N950" s="78" t="n"/>
    </row>
    <row r="951">
      <c r="K951" s="93" t="n"/>
      <c r="L951" s="78" t="n"/>
      <c r="M951" s="78" t="n"/>
      <c r="N951" s="78" t="n"/>
    </row>
    <row r="952">
      <c r="K952" s="93" t="n"/>
      <c r="L952" s="78" t="n"/>
      <c r="M952" s="78" t="n"/>
      <c r="N952" s="78" t="n"/>
    </row>
    <row r="953">
      <c r="K953" s="93" t="n"/>
      <c r="L953" s="78" t="n"/>
      <c r="M953" s="78" t="n"/>
      <c r="N953" s="78" t="n"/>
    </row>
    <row r="954">
      <c r="K954" s="93" t="n"/>
      <c r="L954" s="78" t="n"/>
      <c r="M954" s="78" t="n"/>
      <c r="N954" s="78" t="n"/>
    </row>
    <row r="955">
      <c r="K955" s="93" t="n"/>
      <c r="L955" s="78" t="n"/>
      <c r="M955" s="78" t="n"/>
      <c r="N955" s="78" t="n"/>
    </row>
    <row r="956">
      <c r="K956" s="93" t="n"/>
      <c r="L956" s="78" t="n"/>
      <c r="M956" s="78" t="n"/>
      <c r="N956" s="78" t="n"/>
    </row>
    <row r="957">
      <c r="K957" s="93" t="n"/>
      <c r="L957" s="78" t="n"/>
      <c r="M957" s="78" t="n"/>
      <c r="N957" s="78" t="n"/>
    </row>
    <row r="958">
      <c r="K958" s="93" t="n"/>
      <c r="L958" s="78" t="n"/>
      <c r="M958" s="78" t="n"/>
      <c r="N958" s="78" t="n"/>
    </row>
    <row r="959">
      <c r="K959" s="93" t="n"/>
      <c r="L959" s="78" t="n"/>
      <c r="M959" s="78" t="n"/>
      <c r="N959" s="78" t="n"/>
    </row>
    <row r="960">
      <c r="K960" s="93" t="n"/>
      <c r="L960" s="78" t="n"/>
      <c r="M960" s="78" t="n"/>
      <c r="N960" s="78" t="n"/>
    </row>
    <row r="961">
      <c r="K961" s="93" t="n"/>
      <c r="L961" s="78" t="n"/>
      <c r="M961" s="78" t="n"/>
      <c r="N961" s="78" t="n"/>
    </row>
    <row r="962">
      <c r="K962" s="93" t="n"/>
      <c r="L962" s="78" t="n"/>
      <c r="M962" s="78" t="n"/>
      <c r="N962" s="78" t="n"/>
    </row>
    <row r="963">
      <c r="K963" s="93" t="n"/>
      <c r="L963" s="78" t="n"/>
      <c r="M963" s="78" t="n"/>
      <c r="N963" s="78" t="n"/>
    </row>
    <row r="964">
      <c r="K964" s="93" t="n"/>
      <c r="L964" s="78" t="n"/>
      <c r="M964" s="78" t="n"/>
      <c r="N964" s="78" t="n"/>
    </row>
    <row r="965">
      <c r="K965" s="93" t="n"/>
      <c r="L965" s="78" t="n"/>
      <c r="M965" s="78" t="n"/>
      <c r="N965" s="78" t="n"/>
    </row>
    <row r="966">
      <c r="K966" s="93" t="n"/>
      <c r="L966" s="78" t="n"/>
      <c r="M966" s="78" t="n"/>
      <c r="N966" s="78" t="n"/>
    </row>
    <row r="967">
      <c r="K967" s="93" t="n"/>
      <c r="L967" s="78" t="n"/>
      <c r="M967" s="78" t="n"/>
      <c r="N967" s="78" t="n"/>
    </row>
    <row r="968">
      <c r="K968" s="93" t="n"/>
      <c r="L968" s="78" t="n"/>
      <c r="M968" s="78" t="n"/>
      <c r="N968" s="78" t="n"/>
    </row>
    <row r="969">
      <c r="K969" s="93" t="n"/>
      <c r="L969" s="78" t="n"/>
      <c r="M969" s="78" t="n"/>
      <c r="N969" s="78" t="n"/>
    </row>
    <row r="970">
      <c r="K970" s="93" t="n"/>
      <c r="L970" s="78" t="n"/>
      <c r="M970" s="78" t="n"/>
      <c r="N970" s="78" t="n"/>
    </row>
    <row r="971">
      <c r="K971" s="93" t="n"/>
      <c r="L971" s="78" t="n"/>
      <c r="M971" s="78" t="n"/>
      <c r="N971" s="78" t="n"/>
    </row>
    <row r="972">
      <c r="K972" s="93" t="n"/>
      <c r="L972" s="78" t="n"/>
      <c r="M972" s="78" t="n"/>
      <c r="N972" s="78" t="n"/>
    </row>
    <row r="973">
      <c r="K973" s="93" t="n"/>
      <c r="L973" s="78" t="n"/>
      <c r="M973" s="78" t="n"/>
      <c r="N973" s="78" t="n"/>
    </row>
    <row r="974">
      <c r="K974" s="93" t="n"/>
      <c r="L974" s="78" t="n"/>
      <c r="M974" s="78" t="n"/>
      <c r="N974" s="78" t="n"/>
    </row>
    <row r="975">
      <c r="K975" s="93" t="n"/>
      <c r="L975" s="78" t="n"/>
      <c r="M975" s="78" t="n"/>
      <c r="N975" s="78" t="n"/>
    </row>
    <row r="976">
      <c r="K976" s="93" t="n"/>
      <c r="L976" s="78" t="n"/>
      <c r="M976" s="78" t="n"/>
      <c r="N976" s="78" t="n"/>
    </row>
    <row r="977">
      <c r="K977" s="93" t="n"/>
      <c r="L977" s="78" t="n"/>
      <c r="M977" s="78" t="n"/>
      <c r="N977" s="78" t="n"/>
    </row>
    <row r="978">
      <c r="K978" s="93" t="n"/>
      <c r="L978" s="78" t="n"/>
      <c r="M978" s="78" t="n"/>
      <c r="N978" s="78" t="n"/>
    </row>
    <row r="979">
      <c r="K979" s="93" t="n"/>
      <c r="L979" s="78" t="n"/>
      <c r="M979" s="78" t="n"/>
      <c r="N979" s="78" t="n"/>
    </row>
    <row r="980">
      <c r="K980" s="93" t="n"/>
      <c r="L980" s="78" t="n"/>
      <c r="M980" s="78" t="n"/>
      <c r="N980" s="78" t="n"/>
    </row>
    <row r="981">
      <c r="K981" s="93" t="n"/>
      <c r="L981" s="78" t="n"/>
      <c r="M981" s="78" t="n"/>
      <c r="N981" s="78" t="n"/>
    </row>
    <row r="982">
      <c r="K982" s="93" t="n"/>
      <c r="L982" s="78" t="n"/>
      <c r="M982" s="78" t="n"/>
      <c r="N982" s="78" t="n"/>
    </row>
    <row r="983">
      <c r="K983" s="93" t="n"/>
      <c r="L983" s="78" t="n"/>
      <c r="M983" s="78" t="n"/>
      <c r="N983" s="78" t="n"/>
    </row>
    <row r="984">
      <c r="K984" s="93" t="n"/>
      <c r="L984" s="78" t="n"/>
      <c r="M984" s="78" t="n"/>
      <c r="N984" s="78" t="n"/>
    </row>
    <row r="985">
      <c r="K985" s="93" t="n"/>
      <c r="L985" s="78" t="n"/>
      <c r="M985" s="78" t="n"/>
      <c r="N985" s="78" t="n"/>
    </row>
    <row r="986">
      <c r="K986" s="93" t="n"/>
      <c r="L986" s="78" t="n"/>
      <c r="M986" s="78" t="n"/>
      <c r="N986" s="78" t="n"/>
    </row>
    <row r="987">
      <c r="K987" s="93" t="n"/>
      <c r="L987" s="78" t="n"/>
      <c r="M987" s="78" t="n"/>
      <c r="N987" s="78" t="n"/>
    </row>
    <row r="988">
      <c r="K988" s="93" t="n"/>
      <c r="L988" s="78" t="n"/>
      <c r="M988" s="78" t="n"/>
      <c r="N988" s="78" t="n"/>
    </row>
    <row r="989">
      <c r="K989" s="93" t="n"/>
      <c r="L989" s="78" t="n"/>
      <c r="M989" s="78" t="n"/>
      <c r="N989" s="78" t="n"/>
    </row>
    <row r="990">
      <c r="K990" s="93" t="n"/>
      <c r="L990" s="78" t="n"/>
      <c r="M990" s="78" t="n"/>
      <c r="N990" s="78" t="n"/>
    </row>
    <row r="991">
      <c r="K991" s="93" t="n"/>
      <c r="L991" s="78" t="n"/>
      <c r="M991" s="78" t="n"/>
      <c r="N991" s="78" t="n"/>
    </row>
    <row r="992">
      <c r="K992" s="93" t="n"/>
      <c r="L992" s="78" t="n"/>
      <c r="M992" s="78" t="n"/>
      <c r="N992" s="78" t="n"/>
    </row>
    <row r="993">
      <c r="K993" s="93" t="n"/>
      <c r="L993" s="78" t="n"/>
      <c r="M993" s="78" t="n"/>
      <c r="N993" s="78" t="n"/>
    </row>
    <row r="994">
      <c r="K994" s="93" t="n"/>
      <c r="L994" s="78" t="n"/>
      <c r="M994" s="78" t="n"/>
      <c r="N994" s="78" t="n"/>
    </row>
    <row r="995">
      <c r="K995" s="93" t="n"/>
      <c r="L995" s="78" t="n"/>
      <c r="M995" s="78" t="n"/>
      <c r="N995" s="78" t="n"/>
    </row>
    <row r="996">
      <c r="K996" s="93" t="n"/>
      <c r="L996" s="78" t="n"/>
      <c r="M996" s="78" t="n"/>
      <c r="N996" s="78" t="n"/>
    </row>
    <row r="997">
      <c r="K997" s="93" t="n"/>
      <c r="L997" s="78" t="n"/>
      <c r="M997" s="78" t="n"/>
      <c r="N997" s="78" t="n"/>
    </row>
    <row r="998">
      <c r="K998" s="93" t="n"/>
      <c r="L998" s="78" t="n"/>
      <c r="M998" s="78" t="n"/>
      <c r="N998" s="78" t="n"/>
    </row>
    <row r="999">
      <c r="K999" s="93" t="n"/>
      <c r="L999" s="78" t="n"/>
      <c r="M999" s="78" t="n"/>
      <c r="N999" s="78" t="n"/>
    </row>
    <row r="1000">
      <c r="K1000" s="93" t="n"/>
      <c r="L1000" s="78" t="n"/>
      <c r="M1000" s="78" t="n"/>
      <c r="N1000" s="78" t="n"/>
    </row>
    <row r="1001">
      <c r="K1001" s="93" t="n"/>
      <c r="L1001" s="78" t="n"/>
      <c r="M1001" s="78" t="n"/>
      <c r="N1001" s="78" t="n"/>
    </row>
  </sheetData>
  <dataValidations count="2">
    <dataValidation sqref="L2:L1001" showDropDown="0" showInputMessage="0" showErrorMessage="0" allowBlank="0" type="list">
      <formula1>legenda!$B$2:$B$6</formula1>
    </dataValidation>
    <dataValidation sqref="M2:M1001" showDropDown="0" showInputMessage="0" showErrorMessage="0" allowBlank="0" type="list">
      <formula1>legenda!$F$2:$F$12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Example Organization</dc:creator>
  <dc:title xmlns:dc="http://purl.org/dc/elements/1.1/">Synthetic Dashboard Example</dc:title>
  <dc:description xmlns:dc="http://purl.org/dc/elements/1.1/">Synthetic example generated for documentation and testing.</dc:description>
  <dc:subject xmlns:dc="http://purl.org/dc/elements/1.1/">Public synthetic dashboard template</dc:subject>
  <dcterms:created xmlns:dcterms="http://purl.org/dc/terms/" xmlns:xsi="http://www.w3.org/2001/XMLSchema-instance" xsi:type="dcterms:W3CDTF">2026-08-11T05:32:04+00:00Z</dcterms:created>
  <dcterms:modified xmlns:dcterms="http://purl.org/dc/terms/" xmlns:xsi="http://www.w3.org/2001/XMLSchema-instance" xsi:type="dcterms:W3CDTF">2026-08-11T05:32:04+00:00Z</dcterms:modified>
  <cp:lastModifiedBy>Example Organization</cp:lastModifiedBy>
  <cp:category>Public example</cp:category>
  <cp:keywords>synthetic,dashboard,example</cp:keywords>
</cp:coreProperties>
</file>